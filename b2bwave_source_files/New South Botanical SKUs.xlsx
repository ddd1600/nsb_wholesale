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Key" sheetId="2" r:id="rId5"/>
    <sheet state="visible" name="Inputs" sheetId="3" r:id="rId6"/>
    <sheet state="visible" name="SKU-Product List" sheetId="4" r:id="rId7"/>
    <sheet state="visible" name="QBO Items" sheetId="5" r:id="rId8"/>
  </sheets>
  <definedNames/>
  <calcPr/>
</workbook>
</file>

<file path=xl/sharedStrings.xml><?xml version="1.0" encoding="utf-8"?>
<sst xmlns="http://schemas.openxmlformats.org/spreadsheetml/2006/main" count="519" uniqueCount="315">
  <si>
    <t>Short Name</t>
  </si>
  <si>
    <t>XXYYZZAA</t>
  </si>
  <si>
    <t>Juul Pod Kits</t>
  </si>
  <si>
    <t>XX is For Type (Vapor, Tincture, Edible, etc)</t>
  </si>
  <si>
    <t>1mL Ceramic Cartridges</t>
  </si>
  <si>
    <t>BB Codes</t>
  </si>
  <si>
    <t>Title</t>
  </si>
  <si>
    <t>BBTank Flip Batteries</t>
  </si>
  <si>
    <t>YY if For Product Type (Vape Pod, Cartridge, etc -- loose classification here honestly)</t>
  </si>
  <si>
    <t>SKU</t>
  </si>
  <si>
    <t>-S</t>
  </si>
  <si>
    <t>New SKU</t>
  </si>
  <si>
    <t>1oz Boston Bottles</t>
  </si>
  <si>
    <t>Sample (Marked)</t>
  </si>
  <si>
    <t>Description</t>
  </si>
  <si>
    <t>2oz Boston Bottles</t>
  </si>
  <si>
    <t>Old SKU</t>
  </si>
  <si>
    <t>ZZ if for Product Variation</t>
  </si>
  <si>
    <t>Category</t>
  </si>
  <si>
    <t>X Code (Type)</t>
  </si>
  <si>
    <t>1/2oz Boston Bottles</t>
  </si>
  <si>
    <t>X Desc</t>
  </si>
  <si>
    <t>Y Code Subtype)</t>
  </si>
  <si>
    <t>AA if for quantity</t>
  </si>
  <si>
    <t>Heat Shrink Wrap for Bottles</t>
  </si>
  <si>
    <t>Y desc</t>
  </si>
  <si>
    <t>Z Code (Variation)</t>
  </si>
  <si>
    <t>Z Desc</t>
  </si>
  <si>
    <t>BB for addendum (suffixes, etc)</t>
  </si>
  <si>
    <t>A Code (Quantity)</t>
  </si>
  <si>
    <t>A Desc</t>
  </si>
  <si>
    <t>1oz D8 Advanced Tincture</t>
  </si>
  <si>
    <t>Delta 8 1oz THC Advanced Formula Tincture (40 mg/mL)</t>
  </si>
  <si>
    <t>T-D8AdvancedFormula</t>
  </si>
  <si>
    <t>Silver Bundle Package</t>
  </si>
  <si>
    <t>Vape Pod System, Raw</t>
  </si>
  <si>
    <t>Bundle</t>
  </si>
  <si>
    <t>Bundles</t>
  </si>
  <si>
    <t>Vape Pod System, Fresh</t>
  </si>
  <si>
    <t>Lotion Bar, Honeysticks plus tincture</t>
  </si>
  <si>
    <t>1400mg</t>
  </si>
  <si>
    <t>Gold Bundle Package</t>
  </si>
  <si>
    <t>510 Vape Cart Refill, Raw</t>
  </si>
  <si>
    <t>2800mg</t>
  </si>
  <si>
    <t>Bronze Bundle Package</t>
  </si>
  <si>
    <t>700mg</t>
  </si>
  <si>
    <t>Gift Packs</t>
  </si>
  <si>
    <t>510 Vape Cart Refill, Fresh</t>
  </si>
  <si>
    <t>1/2oz adv tincture, 1 lotion bar, 10 taffies</t>
  </si>
  <si>
    <t>Default</t>
  </si>
  <si>
    <t>30 ct gelcaps, 1 lotion bar, 10 taffies</t>
  </si>
  <si>
    <t>taffies and lotion bar plus another product</t>
  </si>
  <si>
    <t>1/2oz advanced tincture</t>
  </si>
  <si>
    <t>30ct advanced gelcaps</t>
  </si>
  <si>
    <t>Gold Bundle</t>
  </si>
  <si>
    <t>Starter Packs</t>
  </si>
  <si>
    <t>Gold Package (2800, lotion bar &amp; honeysticks)</t>
  </si>
  <si>
    <t>Juul Compatible Vape Cartridge, Raw</t>
  </si>
  <si>
    <t>Green Apple Supreme THC Free Gummies (10CT)</t>
  </si>
  <si>
    <t>QBO Description</t>
  </si>
  <si>
    <t>E-IsoSupremeGummies10Ct</t>
  </si>
  <si>
    <t>Green Apple Supreme THC Free Gummies (30CT)</t>
  </si>
  <si>
    <t>E-IsoSupremeGummies30Ct</t>
  </si>
  <si>
    <t>SKU as String</t>
  </si>
  <si>
    <t>Blue Raspberry Delta 8 Gummies (30CT)</t>
  </si>
  <si>
    <t>B. Vapor:Vape Pod System with pre-filled 1mL cartridge (400+ MG), Fresh Flavor (deleted)</t>
  </si>
  <si>
    <t>Juul Compatible Vape Cartridge, Fresh</t>
  </si>
  <si>
    <t>E-BlueRasD8Gummies30Ct</t>
  </si>
  <si>
    <t>Edible</t>
  </si>
  <si>
    <t>Gummies</t>
  </si>
  <si>
    <t>Delta 8 Infused (40MG)</t>
  </si>
  <si>
    <t>R30</t>
  </si>
  <si>
    <t>30 count blue raspberry</t>
  </si>
  <si>
    <t>Strawberry Delta 8 Gummies (30CT)</t>
  </si>
  <si>
    <t>E-StrawberryD8Gummies30Ct</t>
  </si>
  <si>
    <t>S30</t>
  </si>
  <si>
    <t>30 count strawberry</t>
  </si>
  <si>
    <t>Supreme Formula (60mg CBD) Gummies (10ct)</t>
  </si>
  <si>
    <t>E-Supreme Gummies10Ct</t>
  </si>
  <si>
    <t>Supreme Formula (60mg CBD) Gummies (30ct)</t>
  </si>
  <si>
    <t>E-Supreme Gummies30Ct</t>
  </si>
  <si>
    <t>B. Vapor:Pre-filled 1mL vaporizer cartridge - Raw Flavor (400+ MG)</t>
  </si>
  <si>
    <t>100 Pack Honeysticks</t>
  </si>
  <si>
    <t>E-Honey100</t>
  </si>
  <si>
    <t>B. Vapor:Pre-filled 1mL vaporizer cartridge - Fresh Flavor (400+ MG),</t>
  </si>
  <si>
    <t>Hemp Honey Sticks</t>
  </si>
  <si>
    <t>Original Formula</t>
  </si>
  <si>
    <t>100 Pack</t>
  </si>
  <si>
    <t>20 Pack Honeysticks</t>
  </si>
  <si>
    <t>E-Honey20</t>
  </si>
  <si>
    <t>5mL Vape Juice (20% CBD, Raw Flavor)</t>
  </si>
  <si>
    <t>20 Pack</t>
  </si>
  <si>
    <t>B. Vapor:Vape Pod System with pre-filled 1mL cartridge (400+ MG), Raw Flavor (deleted)</t>
  </si>
  <si>
    <t>5 Pack</t>
  </si>
  <si>
    <t>Honey Stick</t>
  </si>
  <si>
    <t>5mL Vape Juice (20% CBD, Fresh Flavor)</t>
  </si>
  <si>
    <t>E-Honeystick</t>
  </si>
  <si>
    <t>Individual Stick</t>
  </si>
  <si>
    <t>Caramel Taffies</t>
  </si>
  <si>
    <t>E-Taffy</t>
  </si>
  <si>
    <t>Saltwater Taffy</t>
  </si>
  <si>
    <t>E. Shipping:USPS Shipping</t>
  </si>
  <si>
    <t>1.28g extract per lb, 5g
taffy with caramel 
flavoring</t>
  </si>
  <si>
    <t>5mL Vape Juice (40% CBD, Raw Flavor)</t>
  </si>
  <si>
    <t>Single Serving</t>
  </si>
  <si>
    <t>THC Free Taffies 50 Pack</t>
  </si>
  <si>
    <t>1.4g CBD Isolate per lb, 5g taffy with
caramel flavoring</t>
  </si>
  <si>
    <t>5mL Vape Juice (40% CBD, Fresh Flavor)</t>
  </si>
  <si>
    <t>50 Pack</t>
  </si>
  <si>
    <t>D. Honey:(100pack) Hemp Honey Sticks 15mg</t>
  </si>
  <si>
    <t>1.5g extract per lb, 5g
taffy with caramel 
flavoring</t>
  </si>
  <si>
    <t>10 Pack</t>
  </si>
  <si>
    <t>20 Pack Taffies</t>
  </si>
  <si>
    <t>E-Taffy20</t>
  </si>
  <si>
    <t>Original Formula, 1oz (450mg)</t>
  </si>
  <si>
    <t>A. Tinctures:2oz (2800MG) Advanced Hemp Flower Extract</t>
  </si>
  <si>
    <t>Caramel Taffies 50 Pack</t>
  </si>
  <si>
    <t>E-Taffy50</t>
  </si>
  <si>
    <t>Lemon Cream Taffies, 50 Pack</t>
  </si>
  <si>
    <t>E-Lemon-Taffies50</t>
  </si>
  <si>
    <t>E-LemonTaffies50</t>
  </si>
  <si>
    <t>1.5g extract per lb, 5g taffy with
lemon flavor</t>
  </si>
  <si>
    <t>A. Tinctures:1oz (1400MG) Advanced Hemp Flower Extract</t>
  </si>
  <si>
    <t>Peanut Butter Taffies 50 Pack</t>
  </si>
  <si>
    <t>Original Formula Tincture, 2oz (900mg)</t>
  </si>
  <si>
    <t>A. Tinctures:2oz (900MG) Hemp Flower Extract</t>
  </si>
  <si>
    <t>Original Formula Tincture, 1/2 oz (225mg)</t>
  </si>
  <si>
    <t>1.5g extract per lb, 5g taffy with
peanut butter flavor</t>
  </si>
  <si>
    <t>Strong D8 THC Taffies (42mg/taffy), 20 pack</t>
  </si>
  <si>
    <t>E-D8StrongTaffies20</t>
  </si>
  <si>
    <t>Advanced Formula Tincture, 1oz (1400mg)</t>
  </si>
  <si>
    <t>A. Tinctures:1oz (450MG) Hemp Flower Extract</t>
  </si>
  <si>
    <t>10.9g 85% D8 distillate per lb-taffy</t>
  </si>
  <si>
    <t>60 ct gelcaps</t>
  </si>
  <si>
    <t>E-30Softgels</t>
  </si>
  <si>
    <t>Other</t>
  </si>
  <si>
    <t>E. Shipping:UPS Shipping</t>
  </si>
  <si>
    <t>Gelcaps</t>
  </si>
  <si>
    <t>Advanced Formula 1/2mL
gelcaps (22 mg/gelcap)</t>
  </si>
  <si>
    <t>30 ct bottle</t>
  </si>
  <si>
    <t>30ct gelcaps</t>
  </si>
  <si>
    <t>E-60Softgels</t>
  </si>
  <si>
    <t>60 ct bottle</t>
  </si>
  <si>
    <t>Transaction Costs</t>
  </si>
  <si>
    <t>Advanced Formula Tincture, 16oz (22,400mg)</t>
  </si>
  <si>
    <t>Payment Processing Fee</t>
  </si>
  <si>
    <t>Credit Card</t>
  </si>
  <si>
    <t>B. Vapor:(2000mg) Raw Vape Fluid Bottle</t>
  </si>
  <si>
    <t>Shipping</t>
  </si>
  <si>
    <t>Overnight</t>
  </si>
  <si>
    <t>Advanced Formula Tincture, 1/2 oz (700mg)</t>
  </si>
  <si>
    <t>UPS</t>
  </si>
  <si>
    <t>B. Vapor:(2000mg) Fresh Vape Fluid Bottle</t>
  </si>
  <si>
    <t>USPS</t>
  </si>
  <si>
    <t>Uncategorized</t>
  </si>
  <si>
    <t>Peanut Butter Pet Tincture</t>
  </si>
  <si>
    <t>Peanut Butter Pet Tincture, 1oz</t>
  </si>
  <si>
    <t>T-1PetPB</t>
  </si>
  <si>
    <t>G. Other:Credit Processing:Convenience fee (Credit Processing)</t>
  </si>
  <si>
    <t>Supreme Formula Tincture, 1oz (3900mg)</t>
  </si>
  <si>
    <t>Pet</t>
  </si>
  <si>
    <t>Dog Treats</t>
  </si>
  <si>
    <t>Original Formula
(wheat flour base,
5mg CBD per treat)</t>
  </si>
  <si>
    <t>A. Tinctures:0.5oz (700MG) Advanced Hemp Flower Extract</t>
  </si>
  <si>
    <t>Pet Tincture</t>
  </si>
  <si>
    <t>T-1Pets</t>
  </si>
  <si>
    <t>Tincture</t>
  </si>
  <si>
    <t>Hemp Honey Sticks, 20 pack</t>
  </si>
  <si>
    <t>1oz</t>
  </si>
  <si>
    <t>Special</t>
  </si>
  <si>
    <t>Apparel</t>
  </si>
  <si>
    <t>T-Shirts</t>
  </si>
  <si>
    <t>Original NSB Shirt</t>
  </si>
  <si>
    <t>A. Tinctures:0.5oz (225MG) Hemp Flower Extract</t>
  </si>
  <si>
    <t>Educational
Materials</t>
  </si>
  <si>
    <t>"How to Think
About Hemp
Flower Extract"
trifold brochure</t>
  </si>
  <si>
    <t>Coozies</t>
  </si>
  <si>
    <t>Hemp Honey Sticks, 100 pack</t>
  </si>
  <si>
    <t>General</t>
  </si>
  <si>
    <t>F. Educational Materials:Trifold Brochure</t>
  </si>
  <si>
    <t>Posters</t>
  </si>
  <si>
    <t>2018 Beach Poster</t>
  </si>
  <si>
    <t>2018 Mountain Poster</t>
  </si>
  <si>
    <t>B. Vapor:Escape Pods (4 Juul-compatible cartridges with 280mg CBD each) (deleted)</t>
  </si>
  <si>
    <t>Retail Displays</t>
  </si>
  <si>
    <t>Three-Tier Plexi-
Glass Display
Case</t>
  </si>
  <si>
    <t>Trifold Brochure
Holder</t>
  </si>
  <si>
    <t>B. Vapor:Escape Pod - Fresh Flavor (1 Juul-compatible cartridge with 280mg CBD)</t>
  </si>
  <si>
    <t>Service Charges</t>
  </si>
  <si>
    <t>CC Convenience Fee</t>
  </si>
  <si>
    <t>Hemp Flower Extract Infused Saltwater Taffies, 50ct</t>
  </si>
  <si>
    <t>1400 Mint Chocolate</t>
  </si>
  <si>
    <t>T-1MCAdvTinct</t>
  </si>
  <si>
    <t>B. Vapor:Escape Pod - Raw Flavor (1 Juul-compatible cartridge with 280mg CBD)</t>
  </si>
  <si>
    <t>Advanced Formula</t>
  </si>
  <si>
    <t>Mint Chocolate Flavor</t>
  </si>
  <si>
    <t>1oz (30mL)</t>
  </si>
  <si>
    <t>T-0.5AdvTinct</t>
  </si>
  <si>
    <t>No Additives</t>
  </si>
  <si>
    <t>1/2oz (15mL)</t>
  </si>
  <si>
    <t>C. Topicals:Lotion Bar (100mg)</t>
  </si>
  <si>
    <t>T-16AdvTinct</t>
  </si>
  <si>
    <t>16oz</t>
  </si>
  <si>
    <t>T-1AdvTinct</t>
  </si>
  <si>
    <t>D. Honey:(20 Pack) Honey Sticks</t>
  </si>
  <si>
    <t>Good Friend Pack</t>
  </si>
  <si>
    <t>1oz and 2oz bottles</t>
  </si>
  <si>
    <t>T-2AdvTinct</t>
  </si>
  <si>
    <t>2oz (60mL)</t>
  </si>
  <si>
    <t>1400 Peanut Butter</t>
  </si>
  <si>
    <t>C. Topicals:Lip Balm (50mg)</t>
  </si>
  <si>
    <t>T-1PBAdvTinct</t>
  </si>
  <si>
    <t>Peanut Butter Flavor</t>
  </si>
  <si>
    <t>THC Free 1400</t>
  </si>
  <si>
    <t>T-THCFree</t>
  </si>
  <si>
    <t>Advanced THC-Free
Formula</t>
  </si>
  <si>
    <t>E. Shipping:Overnight shipping (+$35.00)</t>
  </si>
  <si>
    <t>450 Mint Chocolate</t>
  </si>
  <si>
    <t>T-1OGMint</t>
  </si>
  <si>
    <t>T-.5OgTinct</t>
  </si>
  <si>
    <t>B. Vapor:4-Pack Escape Pods - Fresh Flavor (4 Juul-compatible cartridge with 280mg CBD)</t>
  </si>
  <si>
    <t>T-1OG</t>
  </si>
  <si>
    <t>T-2OG</t>
  </si>
  <si>
    <t>450 Peanut Butter</t>
  </si>
  <si>
    <t>T-1OGPB</t>
  </si>
  <si>
    <t>B. Vapor:4-Pack Escape Pods - Raw Flavor (4 Juul-compatible cartridge with 280mg CBD)</t>
  </si>
  <si>
    <t>Supreme 1oz</t>
  </si>
  <si>
    <t>T-0.5Supreme</t>
  </si>
  <si>
    <t>Supreme Formula</t>
  </si>
  <si>
    <t>Supreme Half Oz</t>
  </si>
  <si>
    <t>T-1Supreme</t>
  </si>
  <si>
    <t>G. Other:Display Case (3 Tier)</t>
  </si>
  <si>
    <t>Infused Spot Treatment</t>
  </si>
  <si>
    <t>Top-Spot</t>
  </si>
  <si>
    <t>Topical</t>
  </si>
  <si>
    <t>Balm</t>
  </si>
  <si>
    <t>Individual (0.15oz tube)</t>
  </si>
  <si>
    <t>Hot Muscle Rub</t>
  </si>
  <si>
    <t>Top-HotMR</t>
  </si>
  <si>
    <t>Lotion</t>
  </si>
  <si>
    <t>Cayenne Base</t>
  </si>
  <si>
    <t>Individual (0.5oz tube)</t>
  </si>
  <si>
    <t>Lotion Bar</t>
  </si>
  <si>
    <t>G. Other:Tech:VAPE BATTERY 350mAH</t>
  </si>
  <si>
    <t>Top-Lotion</t>
  </si>
  <si>
    <t>Individual (0.5oz bar)</t>
  </si>
  <si>
    <t>Salve</t>
  </si>
  <si>
    <t>Individual (3oz jar)</t>
  </si>
  <si>
    <t>510 D8 Cartridge (70%)</t>
  </si>
  <si>
    <t>V-510D870PCT</t>
  </si>
  <si>
    <t>Vapor</t>
  </si>
  <si>
    <t>510 Refill</t>
  </si>
  <si>
    <t>D8 Distillate (70%)</t>
  </si>
  <si>
    <t>1mL (700mg)</t>
  </si>
  <si>
    <t>D. Honey:20 Pack Honeysticks (Retail Only) (deleted)</t>
  </si>
  <si>
    <t>Fresh Flavor</t>
  </si>
  <si>
    <t>0.5mL (200mg)</t>
  </si>
  <si>
    <t>510 Refill Fresh</t>
  </si>
  <si>
    <t>V-510Fresh</t>
  </si>
  <si>
    <t>G. Other:Tech:Variable Voltage Vape Battery (Single)</t>
  </si>
  <si>
    <t>1mL (400mg)</t>
  </si>
  <si>
    <t>Raw Flavor</t>
  </si>
  <si>
    <t>510 Refill Raw</t>
  </si>
  <si>
    <t>V-510Raw</t>
  </si>
  <si>
    <t>G. Other:Apparel:NSB Shirt</t>
  </si>
  <si>
    <t>Escape Pod</t>
  </si>
  <si>
    <t>1 Raw, 1 Fresh</t>
  </si>
  <si>
    <t>2-Pack</t>
  </si>
  <si>
    <t>F. Educational Materials:NSB Poster (Mountain Version)</t>
  </si>
  <si>
    <t>2 Fresh</t>
  </si>
  <si>
    <t>2 Raw</t>
  </si>
  <si>
    <t>Escape Pod Fresh</t>
  </si>
  <si>
    <t>1-Pack</t>
  </si>
  <si>
    <t>B. Vapor:(1000mg) Fresh Vape Fluid Bottle</t>
  </si>
  <si>
    <t>4-Pack</t>
  </si>
  <si>
    <t>Escape Pod Raw</t>
  </si>
  <si>
    <t>B. Vapor:Vape Pod System - Raw Flavor with pre-filled 1mL cartridge (400+ MG) (deleted)</t>
  </si>
  <si>
    <t>Hardware Only</t>
  </si>
  <si>
    <t>350mAH, button battery</t>
  </si>
  <si>
    <t>The one that says "CBD"</t>
  </si>
  <si>
    <t>5mL 20% Vape Juice Fresh</t>
  </si>
  <si>
    <t>B. Vapor:Vape Pod System - Fresh Flavor with pre-filled 1mL cartridge (400+ MG) (deleted)</t>
  </si>
  <si>
    <t>V-5MLFresh2</t>
  </si>
  <si>
    <t>Vape Juice</t>
  </si>
  <si>
    <t>20% CBD (1000mg)</t>
  </si>
  <si>
    <t>5mL 40% Vape Juice Fresh</t>
  </si>
  <si>
    <t>V-5MLFresh</t>
  </si>
  <si>
    <t>40% CBD (2000mg)</t>
  </si>
  <si>
    <t>5mL 20% Vape Juice Raw</t>
  </si>
  <si>
    <t>F. Educational Materials:NSB Poster (Beach Version)</t>
  </si>
  <si>
    <t>V-5MLRaw2</t>
  </si>
  <si>
    <t>5mL 40% Vape Juice Raw</t>
  </si>
  <si>
    <t>V-5MLRaw</t>
  </si>
  <si>
    <t>CBD Vape Starter Kit (Both Flavors)</t>
  </si>
  <si>
    <t>G. Other:Tech:Variable Voltage Vape Battery (No Packaging) (deleted)</t>
  </si>
  <si>
    <t>Vape Pod System</t>
  </si>
  <si>
    <t>2x1mL (40% CBD)</t>
  </si>
  <si>
    <t>Vape Pod Fresh</t>
  </si>
  <si>
    <t>V-VapeRaw</t>
  </si>
  <si>
    <t>Vape Pod Raw</t>
  </si>
  <si>
    <t>V-VapeFresh</t>
  </si>
  <si>
    <t>B. Vapor:(1000mg) Raw Vape Fluid Bottle</t>
  </si>
  <si>
    <t>B. Vapor:Vape Pod System (Fresh)</t>
  </si>
  <si>
    <t>B. Vapor:Vape Pod System (Raw)</t>
  </si>
  <si>
    <t>C. Topicals:Hot Muscle Rub (100MG)</t>
  </si>
  <si>
    <t>E. Shipping:USPS Standard Shipping</t>
  </si>
  <si>
    <t>A. Tinctures:Pet Tincture 425MG</t>
  </si>
  <si>
    <t>E. Shipping:UPS Ground Shipping</t>
  </si>
  <si>
    <t>E. Shipping:USPS Overnight Shipping</t>
  </si>
  <si>
    <t>E. Shipping:UPS Shipping (deleted)</t>
  </si>
  <si>
    <t>G. Other:Infused Salt Water Taffy (50 Count) w/ p.o.p. display</t>
  </si>
  <si>
    <t>Advanced Gel-Caps (60 Count)</t>
  </si>
  <si>
    <t>A. Tinctures:Advanced Gel-Caps (30 Count)</t>
  </si>
  <si>
    <t>A. Tinctures:1oz Supreme Formula Tincture (3900MG)</t>
  </si>
  <si>
    <t>G. Other:Brochure Holder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</si>
</sst>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b/>
    </font>
    <font>
      <b/>
      <sz val="12.0"/>
      <color rgb="FF000000"/>
      <name val="Arial"/>
    </font>
    <font>
      <sz val="12.0"/>
      <color rgb="FF000000"/>
      <name val="Calibri"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1" numFmtId="0" xfId="0" applyAlignment="1" applyFont="1">
      <alignment readingOrder="0"/>
    </xf>
    <xf borderId="0" fillId="2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9.13"/>
    <col customWidth="1" min="2" max="2" width="75.75"/>
    <col customWidth="1" min="3" max="3" width="31.75"/>
    <col customWidth="1" min="4" max="4" width="14.13"/>
    <col customWidth="1" min="7" max="7" width="15.88"/>
    <col customWidth="1" min="8" max="9" width="15.25"/>
    <col customWidth="1" min="10" max="10" width="34.38"/>
    <col customWidth="1" min="11" max="11" width="15.13"/>
    <col customWidth="1" min="12" max="12" width="30.75"/>
  </cols>
  <sheetData>
    <row r="1">
      <c r="A1" s="2" t="s">
        <v>0</v>
      </c>
      <c r="B1" s="3" t="s">
        <v>6</v>
      </c>
      <c r="C1" s="3" t="s">
        <v>11</v>
      </c>
      <c r="D1" s="2" t="s">
        <v>16</v>
      </c>
      <c r="E1" s="3" t="s">
        <v>19</v>
      </c>
      <c r="F1" s="3" t="s">
        <v>21</v>
      </c>
      <c r="G1" s="3" t="s">
        <v>22</v>
      </c>
      <c r="H1" s="3" t="s">
        <v>25</v>
      </c>
      <c r="I1" s="3" t="s">
        <v>26</v>
      </c>
      <c r="J1" s="3" t="s">
        <v>27</v>
      </c>
      <c r="K1" s="3" t="s">
        <v>29</v>
      </c>
      <c r="L1" s="3" t="s">
        <v>30</v>
      </c>
    </row>
    <row r="2">
      <c r="A2" s="5" t="s">
        <v>31</v>
      </c>
      <c r="B2" s="1" t="s">
        <v>32</v>
      </c>
      <c r="C2" s="1" t="s">
        <v>33</v>
      </c>
      <c r="D2" s="6"/>
      <c r="E2" s="1"/>
      <c r="F2" s="1"/>
      <c r="G2" s="1"/>
      <c r="H2" s="1"/>
      <c r="I2" s="1"/>
      <c r="J2" s="1"/>
      <c r="K2" s="1"/>
      <c r="L2" s="1"/>
    </row>
    <row r="3">
      <c r="A3" s="5" t="s">
        <v>34</v>
      </c>
      <c r="B3" t="str">
        <f t="shared" ref="B3:B10" si="1">F3&amp;": "&amp;H3&amp;", "&amp;J3&amp;", "&amp;L3</f>
        <v>Bundle: Bundles, Lotion Bar, Honeysticks plus tincture, 1400mg</v>
      </c>
      <c r="D3" s="6" t="str">
        <f t="shared" ref="D3:D10" si="2">E3&amp;G3&amp;I3&amp;K3</f>
        <v>8112</v>
      </c>
      <c r="E3" s="1">
        <v>8.0</v>
      </c>
      <c r="F3" s="1" t="s">
        <v>36</v>
      </c>
      <c r="G3" s="1">
        <v>1.0</v>
      </c>
      <c r="H3" s="1" t="s">
        <v>37</v>
      </c>
      <c r="I3" s="1">
        <v>1.0</v>
      </c>
      <c r="J3" s="1" t="s">
        <v>39</v>
      </c>
      <c r="K3" s="1">
        <v>2.0</v>
      </c>
      <c r="L3" s="1" t="s">
        <v>40</v>
      </c>
    </row>
    <row r="4">
      <c r="A4" s="5" t="s">
        <v>41</v>
      </c>
      <c r="B4" t="str">
        <f t="shared" si="1"/>
        <v>Bundle: Bundles, Lotion Bar, Honeysticks plus tincture, 2800mg</v>
      </c>
      <c r="D4" s="6" t="str">
        <f t="shared" si="2"/>
        <v>8111</v>
      </c>
      <c r="E4" s="1">
        <v>8.0</v>
      </c>
      <c r="F4" s="1" t="s">
        <v>36</v>
      </c>
      <c r="G4" s="1">
        <v>1.0</v>
      </c>
      <c r="H4" s="1" t="s">
        <v>37</v>
      </c>
      <c r="I4" s="1">
        <v>1.0</v>
      </c>
      <c r="J4" s="1" t="s">
        <v>39</v>
      </c>
      <c r="K4" s="1">
        <v>1.0</v>
      </c>
      <c r="L4" s="1" t="s">
        <v>43</v>
      </c>
    </row>
    <row r="5">
      <c r="A5" s="5" t="s">
        <v>44</v>
      </c>
      <c r="B5" t="str">
        <f t="shared" si="1"/>
        <v>Bundle: Bundles, Lotion Bar, Honeysticks plus tincture, 700mg</v>
      </c>
      <c r="D5" s="6" t="str">
        <f t="shared" si="2"/>
        <v>8113</v>
      </c>
      <c r="E5" s="1">
        <v>8.0</v>
      </c>
      <c r="F5" s="1" t="s">
        <v>36</v>
      </c>
      <c r="G5" s="1">
        <v>1.0</v>
      </c>
      <c r="H5" s="1" t="s">
        <v>37</v>
      </c>
      <c r="I5" s="1">
        <v>1.0</v>
      </c>
      <c r="J5" s="1" t="s">
        <v>39</v>
      </c>
      <c r="K5" s="1">
        <v>3.0</v>
      </c>
      <c r="L5" s="1" t="s">
        <v>45</v>
      </c>
    </row>
    <row r="6">
      <c r="A6" s="6"/>
      <c r="B6" t="str">
        <f t="shared" si="1"/>
        <v>Bundle: Gift Packs, 1/2oz adv tincture, 1 lotion bar, 10 taffies, Default</v>
      </c>
      <c r="D6" s="6" t="str">
        <f t="shared" si="2"/>
        <v>8221</v>
      </c>
      <c r="E6" s="1">
        <v>8.0</v>
      </c>
      <c r="F6" s="1" t="s">
        <v>36</v>
      </c>
      <c r="G6" s="1">
        <v>2.0</v>
      </c>
      <c r="H6" s="1" t="s">
        <v>46</v>
      </c>
      <c r="I6" s="1">
        <v>2.0</v>
      </c>
      <c r="J6" s="1" t="s">
        <v>48</v>
      </c>
      <c r="K6" s="1">
        <v>1.0</v>
      </c>
      <c r="L6" s="1" t="s">
        <v>49</v>
      </c>
    </row>
    <row r="7">
      <c r="A7" s="6"/>
      <c r="B7" t="str">
        <f t="shared" si="1"/>
        <v>Bundle: Gift Packs, 30 ct gelcaps, 1 lotion bar, 10 taffies, Default</v>
      </c>
      <c r="D7" s="6" t="str">
        <f t="shared" si="2"/>
        <v>8211</v>
      </c>
      <c r="E7" s="1">
        <v>8.0</v>
      </c>
      <c r="F7" s="1" t="s">
        <v>36</v>
      </c>
      <c r="G7" s="1">
        <v>2.0</v>
      </c>
      <c r="H7" s="1" t="s">
        <v>46</v>
      </c>
      <c r="I7" s="1">
        <v>1.0</v>
      </c>
      <c r="J7" s="1" t="s">
        <v>50</v>
      </c>
      <c r="K7" s="1">
        <v>1.0</v>
      </c>
      <c r="L7" s="1" t="s">
        <v>49</v>
      </c>
    </row>
    <row r="8">
      <c r="A8" s="6"/>
      <c r="B8" t="str">
        <f t="shared" si="1"/>
        <v>Bundle: Gift Packs, taffies and lotion bar plus another product, 1/2oz advanced tincture</v>
      </c>
      <c r="D8" s="6" t="str">
        <f t="shared" si="2"/>
        <v>8211</v>
      </c>
      <c r="E8" s="1">
        <v>8.0</v>
      </c>
      <c r="F8" s="1" t="s">
        <v>36</v>
      </c>
      <c r="G8" s="1">
        <v>2.0</v>
      </c>
      <c r="H8" s="1" t="s">
        <v>46</v>
      </c>
      <c r="I8" s="1">
        <v>1.0</v>
      </c>
      <c r="J8" s="1" t="s">
        <v>51</v>
      </c>
      <c r="K8" s="1">
        <v>1.0</v>
      </c>
      <c r="L8" s="1" t="s">
        <v>52</v>
      </c>
    </row>
    <row r="9">
      <c r="A9" s="6"/>
      <c r="B9" t="str">
        <f t="shared" si="1"/>
        <v>Bundle: Gift Packs, taffies and lotion bar plus another product, 30ct advanced gelcaps</v>
      </c>
      <c r="D9" s="6" t="str">
        <f t="shared" si="2"/>
        <v>8212</v>
      </c>
      <c r="E9" s="1">
        <v>8.0</v>
      </c>
      <c r="F9" s="1" t="s">
        <v>36</v>
      </c>
      <c r="G9" s="1">
        <v>2.0</v>
      </c>
      <c r="H9" s="1" t="s">
        <v>46</v>
      </c>
      <c r="I9" s="1">
        <v>1.0</v>
      </c>
      <c r="J9" s="1" t="s">
        <v>51</v>
      </c>
      <c r="K9" s="1">
        <v>2.0</v>
      </c>
      <c r="L9" s="1" t="s">
        <v>53</v>
      </c>
    </row>
    <row r="10">
      <c r="A10" s="5" t="s">
        <v>54</v>
      </c>
      <c r="B10" t="str">
        <f t="shared" si="1"/>
        <v>Bundle: Starter Packs, Gold Package (2800, lotion bar &amp; honeysticks), Default</v>
      </c>
      <c r="D10" s="6" t="str">
        <f t="shared" si="2"/>
        <v>8111</v>
      </c>
      <c r="E10" s="1">
        <v>8.0</v>
      </c>
      <c r="F10" s="1" t="s">
        <v>36</v>
      </c>
      <c r="G10" s="1">
        <v>1.0</v>
      </c>
      <c r="H10" s="1" t="s">
        <v>55</v>
      </c>
      <c r="I10" s="1">
        <v>1.0</v>
      </c>
      <c r="J10" s="1" t="s">
        <v>56</v>
      </c>
      <c r="K10" s="1">
        <v>1.0</v>
      </c>
      <c r="L10" s="1" t="s">
        <v>49</v>
      </c>
    </row>
    <row r="11">
      <c r="A11" s="5" t="s">
        <v>58</v>
      </c>
      <c r="C11" s="1" t="s">
        <v>60</v>
      </c>
      <c r="D11" s="6"/>
      <c r="E11" s="1"/>
      <c r="F11" s="1"/>
      <c r="G11" s="1"/>
      <c r="H11" s="1"/>
      <c r="I11" s="1"/>
      <c r="J11" s="1"/>
      <c r="K11" s="1"/>
      <c r="L11" s="1"/>
    </row>
    <row r="12">
      <c r="A12" s="5" t="s">
        <v>61</v>
      </c>
      <c r="C12" s="1" t="s">
        <v>62</v>
      </c>
      <c r="D12" s="6"/>
      <c r="E12" s="1"/>
      <c r="F12" s="1"/>
      <c r="G12" s="1"/>
      <c r="H12" s="1"/>
      <c r="I12" s="1"/>
      <c r="J12" s="1"/>
      <c r="K12" s="1"/>
      <c r="L12" s="1"/>
    </row>
    <row r="13">
      <c r="A13" s="5" t="s">
        <v>64</v>
      </c>
      <c r="B13" t="str">
        <f t="shared" ref="B13:B14" si="3">F13&amp;": "&amp;H13&amp;", "&amp;J13&amp;", "&amp;L13</f>
        <v>Edible: Gummies, Delta 8 Infused (40MG), 30 count blue raspberry</v>
      </c>
      <c r="C13" s="1" t="s">
        <v>67</v>
      </c>
      <c r="D13" s="6" t="str">
        <f t="shared" ref="D13:D14" si="4">E13&amp;G13&amp;I13&amp;K13</f>
        <v>338R30</v>
      </c>
      <c r="E13" s="1">
        <v>3.0</v>
      </c>
      <c r="F13" s="1" t="s">
        <v>68</v>
      </c>
      <c r="G13" s="1">
        <v>3.0</v>
      </c>
      <c r="H13" s="1" t="s">
        <v>69</v>
      </c>
      <c r="I13" s="1">
        <v>8.0</v>
      </c>
      <c r="J13" s="1" t="s">
        <v>70</v>
      </c>
      <c r="K13" s="1" t="s">
        <v>71</v>
      </c>
      <c r="L13" s="1" t="s">
        <v>72</v>
      </c>
    </row>
    <row r="14">
      <c r="A14" s="5" t="s">
        <v>73</v>
      </c>
      <c r="B14" t="str">
        <f t="shared" si="3"/>
        <v>Edible: Gummies, Delta 8 Infused (40MG), 30 count strawberry</v>
      </c>
      <c r="C14" s="1" t="s">
        <v>74</v>
      </c>
      <c r="D14" s="6" t="str">
        <f t="shared" si="4"/>
        <v>338S30</v>
      </c>
      <c r="E14" s="1">
        <v>3.0</v>
      </c>
      <c r="F14" s="1" t="s">
        <v>68</v>
      </c>
      <c r="G14" s="1">
        <v>3.0</v>
      </c>
      <c r="H14" s="1" t="s">
        <v>69</v>
      </c>
      <c r="I14" s="1">
        <v>8.0</v>
      </c>
      <c r="J14" s="1" t="s">
        <v>70</v>
      </c>
      <c r="K14" s="1" t="s">
        <v>75</v>
      </c>
      <c r="L14" s="1" t="s">
        <v>76</v>
      </c>
    </row>
    <row r="15">
      <c r="A15" s="5" t="s">
        <v>77</v>
      </c>
      <c r="C15" s="1" t="s">
        <v>78</v>
      </c>
      <c r="D15" s="6"/>
      <c r="E15" s="1"/>
      <c r="F15" s="1"/>
      <c r="G15" s="1"/>
      <c r="H15" s="1"/>
      <c r="I15" s="1"/>
      <c r="J15" s="1"/>
      <c r="K15" s="1"/>
      <c r="L15" s="1"/>
    </row>
    <row r="16">
      <c r="A16" s="5" t="s">
        <v>79</v>
      </c>
      <c r="C16" s="1" t="s">
        <v>80</v>
      </c>
      <c r="D16" s="6"/>
      <c r="E16" s="1"/>
      <c r="F16" s="1"/>
      <c r="G16" s="1"/>
      <c r="H16" s="1"/>
      <c r="I16" s="1"/>
      <c r="J16" s="1"/>
      <c r="K16" s="1"/>
      <c r="L16" s="1"/>
    </row>
    <row r="17">
      <c r="A17" s="5" t="s">
        <v>82</v>
      </c>
      <c r="B17" t="str">
        <f t="shared" ref="B17:B35" si="5">F17&amp;": "&amp;H17&amp;", "&amp;J17&amp;", "&amp;L17</f>
        <v>Edible: Hemp Honey Sticks, Original Formula, 100 Pack</v>
      </c>
      <c r="C17" s="1" t="s">
        <v>83</v>
      </c>
      <c r="D17" s="6" t="str">
        <f t="shared" ref="D17:D21" si="6">E17&amp;G17&amp;I17&amp;K17</f>
        <v>3114</v>
      </c>
      <c r="E17" s="1">
        <v>3.0</v>
      </c>
      <c r="F17" s="1" t="s">
        <v>68</v>
      </c>
      <c r="G17" s="1">
        <v>1.0</v>
      </c>
      <c r="H17" s="1" t="s">
        <v>85</v>
      </c>
      <c r="I17" s="1">
        <v>1.0</v>
      </c>
      <c r="J17" s="1" t="s">
        <v>86</v>
      </c>
      <c r="K17" s="1">
        <v>4.0</v>
      </c>
      <c r="L17" s="1" t="s">
        <v>87</v>
      </c>
    </row>
    <row r="18">
      <c r="A18" s="5" t="s">
        <v>88</v>
      </c>
      <c r="B18" t="str">
        <f t="shared" si="5"/>
        <v>Edible: Hemp Honey Sticks, Original Formula, 20 Pack</v>
      </c>
      <c r="C18" s="1" t="s">
        <v>89</v>
      </c>
      <c r="D18" s="6" t="str">
        <f t="shared" si="6"/>
        <v>3112</v>
      </c>
      <c r="E18" s="1">
        <v>3.0</v>
      </c>
      <c r="F18" s="1" t="s">
        <v>68</v>
      </c>
      <c r="G18" s="1">
        <v>1.0</v>
      </c>
      <c r="H18" s="1" t="s">
        <v>85</v>
      </c>
      <c r="I18" s="1">
        <v>1.0</v>
      </c>
      <c r="J18" s="1" t="s">
        <v>86</v>
      </c>
      <c r="K18" s="1">
        <v>2.0</v>
      </c>
      <c r="L18" s="1" t="s">
        <v>91</v>
      </c>
    </row>
    <row r="19">
      <c r="A19" s="6"/>
      <c r="B19" t="str">
        <f t="shared" si="5"/>
        <v>Edible: Hemp Honey Sticks, Original Formula, 5 Pack</v>
      </c>
      <c r="D19" s="6" t="str">
        <f t="shared" si="6"/>
        <v>3113</v>
      </c>
      <c r="E19" s="1">
        <v>3.0</v>
      </c>
      <c r="F19" s="1" t="s">
        <v>68</v>
      </c>
      <c r="G19" s="1">
        <v>1.0</v>
      </c>
      <c r="H19" s="1" t="s">
        <v>85</v>
      </c>
      <c r="I19" s="1">
        <v>1.0</v>
      </c>
      <c r="J19" s="1" t="s">
        <v>86</v>
      </c>
      <c r="K19" s="1">
        <v>3.0</v>
      </c>
      <c r="L19" s="1" t="s">
        <v>93</v>
      </c>
    </row>
    <row r="20">
      <c r="A20" s="5" t="s">
        <v>94</v>
      </c>
      <c r="B20" t="str">
        <f t="shared" si="5"/>
        <v>Edible: Hemp Honey Sticks, Original Formula, Individual Stick</v>
      </c>
      <c r="C20" s="1" t="s">
        <v>96</v>
      </c>
      <c r="D20" s="6" t="str">
        <f t="shared" si="6"/>
        <v>3111</v>
      </c>
      <c r="E20" s="1">
        <v>3.0</v>
      </c>
      <c r="F20" s="1" t="s">
        <v>68</v>
      </c>
      <c r="G20" s="1">
        <v>1.0</v>
      </c>
      <c r="H20" s="1" t="s">
        <v>85</v>
      </c>
      <c r="I20" s="1">
        <v>1.0</v>
      </c>
      <c r="J20" s="1" t="s">
        <v>86</v>
      </c>
      <c r="K20" s="1">
        <v>1.0</v>
      </c>
      <c r="L20" s="1" t="s">
        <v>97</v>
      </c>
    </row>
    <row r="21">
      <c r="A21" s="5" t="s">
        <v>98</v>
      </c>
      <c r="B21" t="str">
        <f t="shared" si="5"/>
        <v>Edible: Saltwater Taffy, 1.28g extract per lb, 5g
taffy with caramel 
flavoring, Single Serving</v>
      </c>
      <c r="C21" s="1" t="s">
        <v>99</v>
      </c>
      <c r="D21" s="6" t="str">
        <f t="shared" si="6"/>
        <v>3211</v>
      </c>
      <c r="E21" s="1">
        <v>3.0</v>
      </c>
      <c r="F21" s="1" t="s">
        <v>68</v>
      </c>
      <c r="G21" s="1">
        <v>2.0</v>
      </c>
      <c r="H21" s="1" t="s">
        <v>100</v>
      </c>
      <c r="I21" s="1">
        <v>1.0</v>
      </c>
      <c r="J21" s="1" t="s">
        <v>102</v>
      </c>
      <c r="K21" s="1">
        <v>1.0</v>
      </c>
      <c r="L21" s="1" t="s">
        <v>104</v>
      </c>
    </row>
    <row r="22">
      <c r="A22" s="5" t="s">
        <v>105</v>
      </c>
      <c r="B22" s="9" t="str">
        <f t="shared" si="5"/>
        <v>Edible: Saltwater Taffy, 1.4g CBD Isolate per lb, 5g taffy with
caramel flavoring, 50 Pack</v>
      </c>
      <c r="C22" s="10">
        <v>3224.0</v>
      </c>
      <c r="D22" s="10">
        <v>3224.0</v>
      </c>
      <c r="E22" s="10">
        <v>3.0</v>
      </c>
      <c r="F22" s="10" t="s">
        <v>68</v>
      </c>
      <c r="G22" s="10">
        <v>2.0</v>
      </c>
      <c r="H22" s="10" t="s">
        <v>100</v>
      </c>
      <c r="I22" s="10">
        <v>2.0</v>
      </c>
      <c r="J22" s="10" t="s">
        <v>106</v>
      </c>
      <c r="K22" s="10">
        <v>4.0</v>
      </c>
      <c r="L22" s="10" t="s">
        <v>108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6"/>
      <c r="B23" t="str">
        <f t="shared" si="5"/>
        <v>Edible: Saltwater Taffy, 1.5g extract per lb, 5g
taffy with caramel 
flavoring, 10 Pack</v>
      </c>
      <c r="D23" s="6" t="str">
        <f t="shared" ref="D23:D25" si="7">E23&amp;G23&amp;I23&amp;K23</f>
        <v>3212</v>
      </c>
      <c r="E23" s="1">
        <v>3.0</v>
      </c>
      <c r="F23" s="1" t="s">
        <v>68</v>
      </c>
      <c r="G23" s="1">
        <v>2.0</v>
      </c>
      <c r="H23" s="1" t="s">
        <v>100</v>
      </c>
      <c r="I23" s="1">
        <v>1.0</v>
      </c>
      <c r="J23" s="1" t="s">
        <v>110</v>
      </c>
      <c r="K23" s="1">
        <v>2.0</v>
      </c>
      <c r="L23" s="1" t="s">
        <v>111</v>
      </c>
    </row>
    <row r="24">
      <c r="A24" s="5" t="s">
        <v>112</v>
      </c>
      <c r="B24" t="str">
        <f t="shared" si="5"/>
        <v>Edible: Saltwater Taffy, 1.5g extract per lb, 5g
taffy with caramel 
flavoring, 20 Pack</v>
      </c>
      <c r="C24" s="1" t="s">
        <v>113</v>
      </c>
      <c r="D24" s="6" t="str">
        <f t="shared" si="7"/>
        <v>3213</v>
      </c>
      <c r="E24" s="1">
        <v>3.0</v>
      </c>
      <c r="F24" s="1" t="s">
        <v>68</v>
      </c>
      <c r="G24" s="1">
        <v>2.0</v>
      </c>
      <c r="H24" s="1" t="s">
        <v>100</v>
      </c>
      <c r="I24" s="1">
        <v>1.0</v>
      </c>
      <c r="J24" s="1" t="s">
        <v>110</v>
      </c>
      <c r="K24" s="1">
        <v>3.0</v>
      </c>
      <c r="L24" s="1" t="s">
        <v>91</v>
      </c>
    </row>
    <row r="25">
      <c r="A25" s="5" t="s">
        <v>116</v>
      </c>
      <c r="B25" t="str">
        <f t="shared" si="5"/>
        <v>Edible: Saltwater Taffy, 1.5g extract per lb, 5g
taffy with caramel 
flavoring, 50 Pack</v>
      </c>
      <c r="C25" s="1" t="s">
        <v>117</v>
      </c>
      <c r="D25" s="6" t="str">
        <f t="shared" si="7"/>
        <v>3214</v>
      </c>
      <c r="E25" s="1">
        <v>3.0</v>
      </c>
      <c r="F25" s="1" t="s">
        <v>68</v>
      </c>
      <c r="G25" s="1">
        <v>2.0</v>
      </c>
      <c r="H25" s="1" t="s">
        <v>100</v>
      </c>
      <c r="I25" s="1">
        <v>1.0</v>
      </c>
      <c r="J25" s="1" t="s">
        <v>110</v>
      </c>
      <c r="K25" s="1">
        <v>4.0</v>
      </c>
      <c r="L25" s="1" t="s">
        <v>108</v>
      </c>
    </row>
    <row r="26">
      <c r="A26" s="5" t="s">
        <v>118</v>
      </c>
      <c r="B26" s="9" t="str">
        <f t="shared" si="5"/>
        <v>Edible: Saltwater Taffy, 1.5g extract per lb, 5g taffy with
lemon flavor, 50 Pack</v>
      </c>
      <c r="C26" s="10" t="s">
        <v>119</v>
      </c>
      <c r="D26" s="5" t="s">
        <v>120</v>
      </c>
      <c r="E26" s="10">
        <v>3.0</v>
      </c>
      <c r="F26" s="10" t="s">
        <v>68</v>
      </c>
      <c r="G26" s="10">
        <v>2.0</v>
      </c>
      <c r="H26" s="10" t="s">
        <v>100</v>
      </c>
      <c r="I26" s="10">
        <v>4.0</v>
      </c>
      <c r="J26" s="10" t="s">
        <v>121</v>
      </c>
      <c r="K26" s="10">
        <v>4.0</v>
      </c>
      <c r="L26" s="10" t="s">
        <v>108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5" t="s">
        <v>123</v>
      </c>
      <c r="B27" s="9" t="str">
        <f t="shared" si="5"/>
        <v>Edible: Saltwater Taffy, 1.5g extract per lb, 5g taffy with
peanut butter flavor, 50 Pack</v>
      </c>
      <c r="C27" s="10">
        <v>3234.0</v>
      </c>
      <c r="D27" s="6" t="str">
        <f>E27&amp;G27&amp;I27&amp;K27</f>
        <v>3234</v>
      </c>
      <c r="E27" s="10">
        <v>3.0</v>
      </c>
      <c r="F27" s="10" t="s">
        <v>68</v>
      </c>
      <c r="G27" s="10">
        <v>2.0</v>
      </c>
      <c r="H27" s="10" t="s">
        <v>100</v>
      </c>
      <c r="I27" s="10">
        <v>3.0</v>
      </c>
      <c r="J27" s="10" t="s">
        <v>127</v>
      </c>
      <c r="K27" s="10">
        <v>4.0</v>
      </c>
      <c r="L27" s="10" t="s">
        <v>108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5" t="s">
        <v>128</v>
      </c>
      <c r="B28" t="str">
        <f t="shared" si="5"/>
        <v>Edible: Saltwater Taffy, 10.9g 85% D8 distillate per lb-taffy, 20 Pack</v>
      </c>
      <c r="C28" s="1" t="s">
        <v>129</v>
      </c>
      <c r="D28" s="6"/>
      <c r="E28" s="1">
        <v>3.0</v>
      </c>
      <c r="F28" s="1" t="s">
        <v>68</v>
      </c>
      <c r="G28" s="1">
        <v>2.0</v>
      </c>
      <c r="H28" s="1" t="s">
        <v>100</v>
      </c>
      <c r="I28" s="1">
        <v>5.0</v>
      </c>
      <c r="J28" s="1" t="s">
        <v>132</v>
      </c>
      <c r="K28" s="1">
        <v>3.0</v>
      </c>
      <c r="L28" s="1" t="s">
        <v>91</v>
      </c>
    </row>
    <row r="29">
      <c r="A29" s="5" t="s">
        <v>133</v>
      </c>
      <c r="B29" t="str">
        <f t="shared" si="5"/>
        <v>Other: Gelcaps, Advanced Formula 1/2mL
gelcaps (22 mg/gelcap), 30 ct bottle</v>
      </c>
      <c r="C29" s="1" t="s">
        <v>134</v>
      </c>
      <c r="D29" s="6" t="str">
        <f t="shared" ref="D29:D35" si="8">E29&amp;G29&amp;I29&amp;K29</f>
        <v>0112</v>
      </c>
      <c r="E29" s="1">
        <v>0.0</v>
      </c>
      <c r="F29" s="1" t="s">
        <v>135</v>
      </c>
      <c r="G29" s="1">
        <v>1.0</v>
      </c>
      <c r="H29" s="1" t="s">
        <v>137</v>
      </c>
      <c r="I29" s="1">
        <v>1.0</v>
      </c>
      <c r="J29" s="1" t="s">
        <v>138</v>
      </c>
      <c r="K29" s="1">
        <v>2.0</v>
      </c>
      <c r="L29" s="1" t="s">
        <v>139</v>
      </c>
    </row>
    <row r="30">
      <c r="A30" s="5" t="s">
        <v>140</v>
      </c>
      <c r="B30" t="str">
        <f t="shared" si="5"/>
        <v>Other: Gelcaps, Advanced Formula 1/2mL
gelcaps (22 mg/gelcap), 60 ct bottle</v>
      </c>
      <c r="C30" s="1" t="s">
        <v>141</v>
      </c>
      <c r="D30" s="6" t="str">
        <f t="shared" si="8"/>
        <v>0111</v>
      </c>
      <c r="E30" s="1">
        <v>0.0</v>
      </c>
      <c r="F30" s="1" t="s">
        <v>135</v>
      </c>
      <c r="G30" s="1">
        <v>1.0</v>
      </c>
      <c r="H30" s="1" t="s">
        <v>137</v>
      </c>
      <c r="I30" s="1">
        <v>1.0</v>
      </c>
      <c r="J30" s="1" t="s">
        <v>138</v>
      </c>
      <c r="K30" s="1">
        <v>1.0</v>
      </c>
      <c r="L30" s="1" t="s">
        <v>142</v>
      </c>
    </row>
    <row r="31">
      <c r="A31" s="6"/>
      <c r="B31" t="str">
        <f t="shared" si="5"/>
        <v>Other: Transaction Costs, Payment Processing Fee, Credit Card</v>
      </c>
      <c r="D31" s="6" t="str">
        <f t="shared" si="8"/>
        <v>0020</v>
      </c>
      <c r="E31" s="1">
        <v>0.0</v>
      </c>
      <c r="F31" s="1" t="s">
        <v>135</v>
      </c>
      <c r="G31" s="1">
        <v>0.0</v>
      </c>
      <c r="H31" s="1" t="s">
        <v>143</v>
      </c>
      <c r="I31" s="1">
        <v>2.0</v>
      </c>
      <c r="J31" s="1" t="s">
        <v>145</v>
      </c>
      <c r="K31" s="1">
        <v>0.0</v>
      </c>
      <c r="L31" s="1" t="s">
        <v>146</v>
      </c>
    </row>
    <row r="32">
      <c r="A32" s="6"/>
      <c r="B32" t="str">
        <f t="shared" si="5"/>
        <v>Other: Transaction Costs, Shipping, Overnight</v>
      </c>
      <c r="D32" s="6" t="str">
        <f t="shared" si="8"/>
        <v>0012</v>
      </c>
      <c r="E32" s="1">
        <v>0.0</v>
      </c>
      <c r="F32" s="1" t="s">
        <v>135</v>
      </c>
      <c r="G32" s="1">
        <v>0.0</v>
      </c>
      <c r="H32" s="1" t="s">
        <v>143</v>
      </c>
      <c r="I32" s="1">
        <v>1.0</v>
      </c>
      <c r="J32" s="1" t="s">
        <v>148</v>
      </c>
      <c r="K32" s="1">
        <v>2.0</v>
      </c>
      <c r="L32" s="1" t="s">
        <v>149</v>
      </c>
    </row>
    <row r="33">
      <c r="A33" s="6"/>
      <c r="B33" t="str">
        <f t="shared" si="5"/>
        <v>Other: Transaction Costs, Shipping, UPS</v>
      </c>
      <c r="D33" s="6" t="str">
        <f t="shared" si="8"/>
        <v>0011</v>
      </c>
      <c r="E33" s="1">
        <v>0.0</v>
      </c>
      <c r="F33" s="1" t="s">
        <v>135</v>
      </c>
      <c r="G33" s="1">
        <v>0.0</v>
      </c>
      <c r="H33" s="1" t="s">
        <v>143</v>
      </c>
      <c r="I33" s="1">
        <v>1.0</v>
      </c>
      <c r="J33" s="1" t="s">
        <v>148</v>
      </c>
      <c r="K33" s="1">
        <v>1.0</v>
      </c>
      <c r="L33" s="1" t="s">
        <v>151</v>
      </c>
    </row>
    <row r="34">
      <c r="A34" s="6"/>
      <c r="B34" t="str">
        <f t="shared" si="5"/>
        <v>Other: Transaction Costs, Shipping, USPS</v>
      </c>
      <c r="D34" s="6" t="str">
        <f t="shared" si="8"/>
        <v>0010</v>
      </c>
      <c r="E34" s="1">
        <v>0.0</v>
      </c>
      <c r="F34" s="1" t="s">
        <v>135</v>
      </c>
      <c r="G34" s="1">
        <v>0.0</v>
      </c>
      <c r="H34" s="1" t="s">
        <v>143</v>
      </c>
      <c r="I34" s="1">
        <v>1.0</v>
      </c>
      <c r="J34" s="1" t="s">
        <v>148</v>
      </c>
      <c r="K34" s="1">
        <v>0.0</v>
      </c>
      <c r="L34" s="1" t="s">
        <v>153</v>
      </c>
    </row>
    <row r="35">
      <c r="A35" s="6"/>
      <c r="B35" t="str">
        <f t="shared" si="5"/>
        <v>Other: Uncategorized, , </v>
      </c>
      <c r="D35" s="6" t="str">
        <f t="shared" si="8"/>
        <v>0900</v>
      </c>
      <c r="E35" s="1">
        <v>0.0</v>
      </c>
      <c r="F35" s="1" t="s">
        <v>135</v>
      </c>
      <c r="G35" s="1">
        <v>9.0</v>
      </c>
      <c r="H35" s="1" t="s">
        <v>154</v>
      </c>
      <c r="I35" s="1">
        <v>0.0</v>
      </c>
      <c r="J35" s="1"/>
      <c r="K35" s="1">
        <v>0.0</v>
      </c>
    </row>
    <row r="36">
      <c r="A36" s="5" t="s">
        <v>155</v>
      </c>
      <c r="B36" s="1" t="s">
        <v>156</v>
      </c>
      <c r="C36" s="1" t="s">
        <v>157</v>
      </c>
      <c r="D36" s="1" t="s">
        <v>157</v>
      </c>
      <c r="E36" s="1"/>
      <c r="F36" s="1"/>
      <c r="G36" s="1"/>
      <c r="H36" s="1"/>
      <c r="I36" s="1"/>
      <c r="J36" s="1"/>
      <c r="K36" s="1"/>
      <c r="L36" s="1"/>
    </row>
    <row r="37">
      <c r="A37" s="6"/>
      <c r="B37" t="str">
        <f t="shared" ref="B37:B85" si="9">F37&amp;": "&amp;H37&amp;", "&amp;J37&amp;", "&amp;L37</f>
        <v>Pet: Dog Treats, Original Formula
(wheat flour base,
5mg CBD per treat), 20 Pack</v>
      </c>
      <c r="D37" s="6" t="str">
        <f t="shared" ref="D37:D65" si="10">E37&amp;G37&amp;I37&amp;K37</f>
        <v>7111</v>
      </c>
      <c r="E37" s="1">
        <v>7.0</v>
      </c>
      <c r="F37" s="1" t="s">
        <v>160</v>
      </c>
      <c r="G37" s="1">
        <v>1.0</v>
      </c>
      <c r="H37" s="1" t="s">
        <v>161</v>
      </c>
      <c r="I37" s="1">
        <v>1.0</v>
      </c>
      <c r="J37" s="1" t="s">
        <v>162</v>
      </c>
      <c r="K37" s="1">
        <v>1.0</v>
      </c>
      <c r="L37" s="1" t="s">
        <v>91</v>
      </c>
    </row>
    <row r="38">
      <c r="A38" s="5" t="s">
        <v>164</v>
      </c>
      <c r="B38" t="str">
        <f t="shared" si="9"/>
        <v>Pet: Tincture, Original Formula, 1oz</v>
      </c>
      <c r="C38" s="1" t="s">
        <v>165</v>
      </c>
      <c r="D38" s="6" t="str">
        <f t="shared" si="10"/>
        <v>7211</v>
      </c>
      <c r="E38" s="1">
        <v>7.0</v>
      </c>
      <c r="F38" s="1" t="s">
        <v>160</v>
      </c>
      <c r="G38" s="1">
        <v>2.0</v>
      </c>
      <c r="H38" s="1" t="s">
        <v>166</v>
      </c>
      <c r="I38" s="1">
        <v>1.0</v>
      </c>
      <c r="J38" s="1" t="s">
        <v>86</v>
      </c>
      <c r="K38" s="1">
        <v>1.0</v>
      </c>
      <c r="L38" s="1" t="s">
        <v>168</v>
      </c>
    </row>
    <row r="39">
      <c r="A39" s="6"/>
      <c r="B39" t="str">
        <f t="shared" si="9"/>
        <v>Special: Apparel, T-Shirts, Original NSB Shirt</v>
      </c>
      <c r="D39" s="6" t="str">
        <f t="shared" si="10"/>
        <v>5311</v>
      </c>
      <c r="E39" s="1">
        <v>5.0</v>
      </c>
      <c r="F39" s="1" t="s">
        <v>169</v>
      </c>
      <c r="G39" s="1">
        <v>3.0</v>
      </c>
      <c r="H39" s="1" t="s">
        <v>170</v>
      </c>
      <c r="I39" s="1">
        <v>1.0</v>
      </c>
      <c r="J39" s="1" t="s">
        <v>171</v>
      </c>
      <c r="K39" s="1">
        <v>1.0</v>
      </c>
      <c r="L39" s="1" t="s">
        <v>172</v>
      </c>
    </row>
    <row r="40">
      <c r="A40" s="6"/>
      <c r="B40" t="str">
        <f t="shared" si="9"/>
        <v>Special: Educational
Materials, "How to Think
About Hemp
Flower Extract"
trifold brochure, Default</v>
      </c>
      <c r="D40" s="6" t="str">
        <f t="shared" si="10"/>
        <v>5111</v>
      </c>
      <c r="E40" s="1">
        <v>5.0</v>
      </c>
      <c r="F40" s="1" t="s">
        <v>169</v>
      </c>
      <c r="G40" s="1">
        <v>1.0</v>
      </c>
      <c r="H40" s="1" t="s">
        <v>174</v>
      </c>
      <c r="I40" s="1">
        <v>1.0</v>
      </c>
      <c r="J40" s="1" t="s">
        <v>175</v>
      </c>
      <c r="K40" s="1">
        <v>1.0</v>
      </c>
      <c r="L40" s="1" t="s">
        <v>49</v>
      </c>
    </row>
    <row r="41">
      <c r="A41" s="6"/>
      <c r="B41" t="str">
        <f t="shared" si="9"/>
        <v>Special: Educational
Materials, Coozies, General</v>
      </c>
      <c r="D41" s="6" t="str">
        <f t="shared" si="10"/>
        <v>5131</v>
      </c>
      <c r="E41" s="1">
        <v>5.0</v>
      </c>
      <c r="F41" s="1" t="s">
        <v>169</v>
      </c>
      <c r="G41" s="1">
        <v>1.0</v>
      </c>
      <c r="H41" s="1" t="s">
        <v>174</v>
      </c>
      <c r="I41" s="1">
        <v>3.0</v>
      </c>
      <c r="J41" s="1" t="s">
        <v>176</v>
      </c>
      <c r="K41" s="1">
        <v>1.0</v>
      </c>
      <c r="L41" s="1" t="s">
        <v>178</v>
      </c>
    </row>
    <row r="42">
      <c r="A42" s="6"/>
      <c r="B42" t="str">
        <f t="shared" si="9"/>
        <v>Special: Educational
Materials, Posters, 2018 Beach Poster</v>
      </c>
      <c r="D42" s="6" t="str">
        <f t="shared" si="10"/>
        <v>5122</v>
      </c>
      <c r="E42" s="1">
        <v>5.0</v>
      </c>
      <c r="F42" s="1" t="s">
        <v>169</v>
      </c>
      <c r="G42" s="1">
        <v>1.0</v>
      </c>
      <c r="H42" s="1" t="s">
        <v>174</v>
      </c>
      <c r="I42" s="1">
        <v>2.0</v>
      </c>
      <c r="J42" s="1" t="s">
        <v>180</v>
      </c>
      <c r="K42" s="1">
        <v>2.0</v>
      </c>
      <c r="L42" s="1" t="s">
        <v>181</v>
      </c>
    </row>
    <row r="43">
      <c r="A43" s="6"/>
      <c r="B43" t="str">
        <f t="shared" si="9"/>
        <v>Special: Educational
Materials, Posters, 2018 Mountain Poster</v>
      </c>
      <c r="D43" s="6" t="str">
        <f t="shared" si="10"/>
        <v>5121</v>
      </c>
      <c r="E43" s="1">
        <v>5.0</v>
      </c>
      <c r="F43" s="1" t="s">
        <v>169</v>
      </c>
      <c r="G43" s="1">
        <v>1.0</v>
      </c>
      <c r="H43" s="1" t="s">
        <v>174</v>
      </c>
      <c r="I43" s="1">
        <v>2.0</v>
      </c>
      <c r="J43" s="1" t="s">
        <v>180</v>
      </c>
      <c r="K43" s="1">
        <v>1.0</v>
      </c>
      <c r="L43" s="1" t="s">
        <v>182</v>
      </c>
    </row>
    <row r="44">
      <c r="A44" s="6"/>
      <c r="B44" t="str">
        <f t="shared" si="9"/>
        <v>Special: Retail Displays, Three-Tier Plexi-
Glass Display
Case, Default</v>
      </c>
      <c r="D44" s="6" t="str">
        <f t="shared" si="10"/>
        <v>5221</v>
      </c>
      <c r="E44" s="1">
        <v>5.0</v>
      </c>
      <c r="F44" s="1" t="s">
        <v>169</v>
      </c>
      <c r="G44" s="1">
        <v>2.0</v>
      </c>
      <c r="H44" s="1" t="s">
        <v>184</v>
      </c>
      <c r="I44" s="1">
        <v>2.0</v>
      </c>
      <c r="J44" s="1" t="s">
        <v>185</v>
      </c>
      <c r="K44" s="1">
        <v>1.0</v>
      </c>
      <c r="L44" s="1" t="s">
        <v>49</v>
      </c>
    </row>
    <row r="45">
      <c r="A45" s="6"/>
      <c r="B45" t="str">
        <f t="shared" si="9"/>
        <v>Special: Retail Displays, Trifold Brochure
Holder, Default</v>
      </c>
      <c r="D45" s="6" t="str">
        <f t="shared" si="10"/>
        <v>5211</v>
      </c>
      <c r="E45" s="1">
        <v>5.0</v>
      </c>
      <c r="F45" s="1" t="s">
        <v>169</v>
      </c>
      <c r="G45" s="1">
        <v>2.0</v>
      </c>
      <c r="H45" s="1" t="s">
        <v>184</v>
      </c>
      <c r="I45" s="1">
        <v>1.0</v>
      </c>
      <c r="J45" s="1" t="s">
        <v>186</v>
      </c>
      <c r="K45" s="1">
        <v>1.0</v>
      </c>
      <c r="L45" s="1" t="s">
        <v>49</v>
      </c>
    </row>
    <row r="46">
      <c r="A46" s="6"/>
      <c r="B46" t="str">
        <f t="shared" si="9"/>
        <v>Special: Service Charges, CC Convenience Fee, Default</v>
      </c>
      <c r="D46" s="6" t="str">
        <f t="shared" si="10"/>
        <v>5411</v>
      </c>
      <c r="E46" s="1">
        <v>5.0</v>
      </c>
      <c r="F46" s="1" t="s">
        <v>169</v>
      </c>
      <c r="G46" s="1">
        <v>4.0</v>
      </c>
      <c r="H46" s="1" t="s">
        <v>188</v>
      </c>
      <c r="I46" s="1">
        <v>1.0</v>
      </c>
      <c r="J46" s="1" t="s">
        <v>189</v>
      </c>
      <c r="K46" s="1">
        <v>1.0</v>
      </c>
      <c r="L46" s="1" t="s">
        <v>49</v>
      </c>
    </row>
    <row r="47">
      <c r="A47" s="5" t="s">
        <v>191</v>
      </c>
      <c r="B47" t="str">
        <f t="shared" si="9"/>
        <v>Tincture: Advanced Formula, Mint Chocolate Flavor, 1oz (30mL)</v>
      </c>
      <c r="C47" s="1" t="s">
        <v>192</v>
      </c>
      <c r="D47" s="6" t="str">
        <f t="shared" si="10"/>
        <v>2211</v>
      </c>
      <c r="E47" s="11">
        <v>2.0</v>
      </c>
      <c r="F47" s="12" t="s">
        <v>166</v>
      </c>
      <c r="G47" s="1">
        <v>2.0</v>
      </c>
      <c r="H47" s="1" t="s">
        <v>194</v>
      </c>
      <c r="I47" s="1">
        <v>1.0</v>
      </c>
      <c r="J47" s="1" t="s">
        <v>195</v>
      </c>
      <c r="K47" s="1">
        <v>1.0</v>
      </c>
      <c r="L47" s="1" t="s">
        <v>196</v>
      </c>
    </row>
    <row r="48">
      <c r="A48" s="5">
        <v>700.0</v>
      </c>
      <c r="B48" t="str">
        <f t="shared" si="9"/>
        <v>Tincture: Advanced Formula, No Additives, 1/2oz (15mL)</v>
      </c>
      <c r="C48" s="1" t="s">
        <v>197</v>
      </c>
      <c r="D48" s="6" t="str">
        <f t="shared" si="10"/>
        <v>2203</v>
      </c>
      <c r="E48" s="13">
        <v>2.0</v>
      </c>
      <c r="F48" s="14" t="s">
        <v>166</v>
      </c>
      <c r="G48" s="1">
        <v>2.0</v>
      </c>
      <c r="H48" s="1" t="s">
        <v>194</v>
      </c>
      <c r="I48" s="1">
        <v>0.0</v>
      </c>
      <c r="J48" s="1" t="s">
        <v>198</v>
      </c>
      <c r="K48" s="1">
        <v>3.0</v>
      </c>
      <c r="L48" s="1" t="s">
        <v>199</v>
      </c>
    </row>
    <row r="49">
      <c r="A49" s="6"/>
      <c r="B49" t="str">
        <f t="shared" si="9"/>
        <v>Tincture: Advanced Formula, No Additives, 16oz</v>
      </c>
      <c r="C49" s="1" t="s">
        <v>201</v>
      </c>
      <c r="D49" s="6" t="str">
        <f t="shared" si="10"/>
        <v>2205</v>
      </c>
      <c r="E49" s="11">
        <v>2.0</v>
      </c>
      <c r="F49" s="14" t="s">
        <v>166</v>
      </c>
      <c r="G49" s="1">
        <v>2.0</v>
      </c>
      <c r="H49" s="1" t="s">
        <v>194</v>
      </c>
      <c r="I49" s="1">
        <v>0.0</v>
      </c>
      <c r="J49" s="1" t="s">
        <v>198</v>
      </c>
      <c r="K49" s="1">
        <v>5.0</v>
      </c>
      <c r="L49" s="1" t="s">
        <v>202</v>
      </c>
    </row>
    <row r="50">
      <c r="A50" s="5">
        <v>1400.0</v>
      </c>
      <c r="B50" t="str">
        <f t="shared" si="9"/>
        <v>Tincture: Advanced Formula, No Additives, 1oz (30mL)</v>
      </c>
      <c r="C50" s="1" t="s">
        <v>203</v>
      </c>
      <c r="D50" s="6" t="str">
        <f t="shared" si="10"/>
        <v>2201</v>
      </c>
      <c r="E50" s="1">
        <v>2.0</v>
      </c>
      <c r="F50" s="1" t="s">
        <v>166</v>
      </c>
      <c r="G50" s="1">
        <v>2.0</v>
      </c>
      <c r="H50" s="1" t="s">
        <v>194</v>
      </c>
      <c r="I50" s="1">
        <v>0.0</v>
      </c>
      <c r="J50" s="1" t="s">
        <v>198</v>
      </c>
      <c r="K50" s="1">
        <v>1.0</v>
      </c>
      <c r="L50" s="1" t="s">
        <v>196</v>
      </c>
    </row>
    <row r="51">
      <c r="A51" s="5" t="s">
        <v>205</v>
      </c>
      <c r="B51" t="str">
        <f t="shared" si="9"/>
        <v>Tincture: Advanced Formula, No Additives, 1oz and 2oz bottles</v>
      </c>
      <c r="D51" s="6" t="str">
        <f t="shared" si="10"/>
        <v>2204</v>
      </c>
      <c r="E51" s="1">
        <v>2.0</v>
      </c>
      <c r="F51" s="1" t="s">
        <v>166</v>
      </c>
      <c r="G51" s="1">
        <v>2.0</v>
      </c>
      <c r="H51" s="1" t="s">
        <v>194</v>
      </c>
      <c r="I51" s="1">
        <v>0.0</v>
      </c>
      <c r="J51" s="1" t="s">
        <v>198</v>
      </c>
      <c r="K51" s="1">
        <v>4.0</v>
      </c>
      <c r="L51" s="1" t="s">
        <v>206</v>
      </c>
    </row>
    <row r="52">
      <c r="A52" s="5">
        <v>2800.0</v>
      </c>
      <c r="B52" t="str">
        <f t="shared" si="9"/>
        <v>Tincture: Advanced Formula, No Additives, 2oz (60mL)</v>
      </c>
      <c r="C52" s="1" t="s">
        <v>207</v>
      </c>
      <c r="D52" s="6" t="str">
        <f t="shared" si="10"/>
        <v>2202</v>
      </c>
      <c r="E52" s="13">
        <v>2.0</v>
      </c>
      <c r="F52" s="14" t="s">
        <v>166</v>
      </c>
      <c r="G52" s="1">
        <v>2.0</v>
      </c>
      <c r="H52" s="1" t="s">
        <v>194</v>
      </c>
      <c r="I52" s="1">
        <v>0.0</v>
      </c>
      <c r="J52" s="1" t="s">
        <v>198</v>
      </c>
      <c r="K52" s="1">
        <v>2.0</v>
      </c>
      <c r="L52" s="1" t="s">
        <v>208</v>
      </c>
    </row>
    <row r="53">
      <c r="A53" s="5" t="s">
        <v>209</v>
      </c>
      <c r="B53" t="str">
        <f t="shared" si="9"/>
        <v>Tincture: Advanced Formula, Peanut Butter Flavor, 1oz (30mL)</v>
      </c>
      <c r="C53" s="1" t="s">
        <v>211</v>
      </c>
      <c r="D53" s="6" t="str">
        <f t="shared" si="10"/>
        <v>2221</v>
      </c>
      <c r="E53" s="11">
        <v>2.0</v>
      </c>
      <c r="F53" s="12" t="s">
        <v>166</v>
      </c>
      <c r="G53" s="1">
        <v>2.0</v>
      </c>
      <c r="H53" s="1" t="s">
        <v>194</v>
      </c>
      <c r="I53" s="1">
        <v>2.0</v>
      </c>
      <c r="J53" s="1" t="s">
        <v>212</v>
      </c>
      <c r="K53" s="1">
        <v>1.0</v>
      </c>
      <c r="L53" s="1" t="s">
        <v>196</v>
      </c>
    </row>
    <row r="54">
      <c r="A54" s="5" t="s">
        <v>213</v>
      </c>
      <c r="B54" t="str">
        <f t="shared" si="9"/>
        <v>Tincture: Advanced THC-Free
Formula, No Additives, 1oz (30mL)</v>
      </c>
      <c r="C54" s="1" t="s">
        <v>214</v>
      </c>
      <c r="D54" s="6" t="str">
        <f t="shared" si="10"/>
        <v>2401</v>
      </c>
      <c r="E54" s="1">
        <v>2.0</v>
      </c>
      <c r="F54" s="1" t="s">
        <v>166</v>
      </c>
      <c r="G54" s="1">
        <v>4.0</v>
      </c>
      <c r="H54" s="1" t="s">
        <v>215</v>
      </c>
      <c r="I54" s="1">
        <v>0.0</v>
      </c>
      <c r="J54" s="1" t="s">
        <v>198</v>
      </c>
      <c r="K54" s="1">
        <v>1.0</v>
      </c>
      <c r="L54" s="1" t="s">
        <v>196</v>
      </c>
    </row>
    <row r="55">
      <c r="A55" s="5" t="s">
        <v>217</v>
      </c>
      <c r="B55" t="str">
        <f t="shared" si="9"/>
        <v>Tincture: Original Formula, Mint Chocolate Flavor, 1oz (30mL)</v>
      </c>
      <c r="C55" s="1" t="s">
        <v>218</v>
      </c>
      <c r="D55" s="6" t="str">
        <f t="shared" si="10"/>
        <v>2111</v>
      </c>
      <c r="E55" s="1">
        <v>2.0</v>
      </c>
      <c r="F55" s="1" t="s">
        <v>166</v>
      </c>
      <c r="G55" s="1">
        <v>1.0</v>
      </c>
      <c r="H55" s="1" t="s">
        <v>86</v>
      </c>
      <c r="I55" s="1">
        <v>1.0</v>
      </c>
      <c r="J55" s="1" t="s">
        <v>195</v>
      </c>
      <c r="K55" s="1">
        <v>1.0</v>
      </c>
      <c r="L55" s="1" t="s">
        <v>196</v>
      </c>
    </row>
    <row r="56">
      <c r="A56" s="5">
        <v>225.0</v>
      </c>
      <c r="B56" t="str">
        <f t="shared" si="9"/>
        <v>Tincture: Original Formula, No Additives, 1/2oz (15mL)</v>
      </c>
      <c r="C56" s="1" t="s">
        <v>219</v>
      </c>
      <c r="D56" s="6" t="str">
        <f t="shared" si="10"/>
        <v>2103</v>
      </c>
      <c r="E56" s="1">
        <v>2.0</v>
      </c>
      <c r="F56" s="1" t="s">
        <v>166</v>
      </c>
      <c r="G56" s="1">
        <v>1.0</v>
      </c>
      <c r="H56" s="1" t="s">
        <v>86</v>
      </c>
      <c r="I56" s="1">
        <v>0.0</v>
      </c>
      <c r="J56" s="1" t="s">
        <v>198</v>
      </c>
      <c r="K56" s="1">
        <v>3.0</v>
      </c>
      <c r="L56" s="1" t="s">
        <v>199</v>
      </c>
    </row>
    <row r="57">
      <c r="A57" s="5">
        <v>450.0</v>
      </c>
      <c r="B57" t="str">
        <f t="shared" si="9"/>
        <v>Tincture: Original Formula, No Additives, 1oz (30mL)</v>
      </c>
      <c r="C57" s="1" t="s">
        <v>221</v>
      </c>
      <c r="D57" s="6" t="str">
        <f t="shared" si="10"/>
        <v>2101</v>
      </c>
      <c r="E57" s="1">
        <v>2.0</v>
      </c>
      <c r="F57" s="1" t="s">
        <v>166</v>
      </c>
      <c r="G57" s="1">
        <v>1.0</v>
      </c>
      <c r="H57" s="1" t="s">
        <v>86</v>
      </c>
      <c r="I57" s="1">
        <v>0.0</v>
      </c>
      <c r="J57" s="1" t="s">
        <v>198</v>
      </c>
      <c r="K57" s="1">
        <v>1.0</v>
      </c>
      <c r="L57" s="1" t="s">
        <v>196</v>
      </c>
    </row>
    <row r="58">
      <c r="A58" s="5">
        <v>900.0</v>
      </c>
      <c r="B58" t="str">
        <f t="shared" si="9"/>
        <v>Tincture: Original Formula, No Additives, 2oz (60mL)</v>
      </c>
      <c r="C58" s="1" t="s">
        <v>222</v>
      </c>
      <c r="D58" s="6" t="str">
        <f t="shared" si="10"/>
        <v>2102</v>
      </c>
      <c r="E58" s="1">
        <v>2.0</v>
      </c>
      <c r="F58" s="1" t="s">
        <v>166</v>
      </c>
      <c r="G58" s="1">
        <v>1.0</v>
      </c>
      <c r="H58" s="1" t="s">
        <v>86</v>
      </c>
      <c r="I58" s="1">
        <v>0.0</v>
      </c>
      <c r="J58" s="1" t="s">
        <v>198</v>
      </c>
      <c r="K58" s="1">
        <v>2.0</v>
      </c>
      <c r="L58" s="1" t="s">
        <v>208</v>
      </c>
    </row>
    <row r="59">
      <c r="A59" s="5" t="s">
        <v>223</v>
      </c>
      <c r="B59" t="str">
        <f t="shared" si="9"/>
        <v>Tincture: Original Formula, Peanut Butter Flavor, 1oz (30mL)</v>
      </c>
      <c r="C59" s="1" t="s">
        <v>224</v>
      </c>
      <c r="D59" s="6" t="str">
        <f t="shared" si="10"/>
        <v>2121</v>
      </c>
      <c r="E59" s="1">
        <v>2.0</v>
      </c>
      <c r="F59" s="1" t="s">
        <v>166</v>
      </c>
      <c r="G59" s="1">
        <v>1.0</v>
      </c>
      <c r="H59" s="1" t="s">
        <v>86</v>
      </c>
      <c r="I59" s="1">
        <v>2.0</v>
      </c>
      <c r="J59" s="1" t="s">
        <v>212</v>
      </c>
      <c r="K59" s="1">
        <v>1.0</v>
      </c>
      <c r="L59" s="1" t="s">
        <v>196</v>
      </c>
    </row>
    <row r="60">
      <c r="A60" s="5" t="s">
        <v>226</v>
      </c>
      <c r="B60" t="str">
        <f t="shared" si="9"/>
        <v>Tincture: Supreme Formula, No Additives, 1/2oz (15mL)</v>
      </c>
      <c r="C60" s="1" t="s">
        <v>227</v>
      </c>
      <c r="D60" s="6" t="str">
        <f t="shared" si="10"/>
        <v>2302</v>
      </c>
      <c r="E60" s="1">
        <v>2.0</v>
      </c>
      <c r="F60" s="1" t="s">
        <v>166</v>
      </c>
      <c r="G60" s="1">
        <v>3.0</v>
      </c>
      <c r="H60" s="1" t="s">
        <v>228</v>
      </c>
      <c r="I60" s="1">
        <v>0.0</v>
      </c>
      <c r="J60" s="1" t="s">
        <v>198</v>
      </c>
      <c r="K60" s="1">
        <v>2.0</v>
      </c>
      <c r="L60" s="1" t="s">
        <v>199</v>
      </c>
    </row>
    <row r="61">
      <c r="A61" s="5" t="s">
        <v>229</v>
      </c>
      <c r="B61" t="str">
        <f t="shared" si="9"/>
        <v>Tincture: Supreme Formula, No Additives, 1oz (30mL)</v>
      </c>
      <c r="C61" s="1" t="s">
        <v>230</v>
      </c>
      <c r="D61" s="6" t="str">
        <f t="shared" si="10"/>
        <v>2301</v>
      </c>
      <c r="E61" s="1">
        <v>2.0</v>
      </c>
      <c r="F61" s="1" t="s">
        <v>166</v>
      </c>
      <c r="G61" s="1">
        <v>3.0</v>
      </c>
      <c r="H61" s="1" t="s">
        <v>228</v>
      </c>
      <c r="I61" s="1">
        <v>0.0</v>
      </c>
      <c r="J61" s="1" t="s">
        <v>198</v>
      </c>
      <c r="K61" s="1">
        <v>1.0</v>
      </c>
      <c r="L61" s="1" t="s">
        <v>196</v>
      </c>
    </row>
    <row r="62">
      <c r="A62" s="5" t="s">
        <v>232</v>
      </c>
      <c r="B62" t="str">
        <f t="shared" si="9"/>
        <v>Topical: Balm, Original Formula, Individual (0.15oz tube)</v>
      </c>
      <c r="C62" s="1" t="s">
        <v>233</v>
      </c>
      <c r="D62" s="6" t="str">
        <f t="shared" si="10"/>
        <v>6131</v>
      </c>
      <c r="E62" s="1">
        <v>6.0</v>
      </c>
      <c r="F62" s="1" t="s">
        <v>234</v>
      </c>
      <c r="G62" s="1">
        <v>1.0</v>
      </c>
      <c r="H62" s="1" t="s">
        <v>235</v>
      </c>
      <c r="I62" s="1">
        <v>3.0</v>
      </c>
      <c r="J62" s="1" t="s">
        <v>86</v>
      </c>
      <c r="K62" s="1">
        <v>1.0</v>
      </c>
      <c r="L62" s="1" t="s">
        <v>236</v>
      </c>
    </row>
    <row r="63">
      <c r="A63" s="5" t="s">
        <v>237</v>
      </c>
      <c r="B63" t="str">
        <f t="shared" si="9"/>
        <v>Topical: Lotion, Cayenne Base, Individual (0.5oz tube)</v>
      </c>
      <c r="C63" s="1" t="s">
        <v>238</v>
      </c>
      <c r="D63" s="6" t="str">
        <f t="shared" si="10"/>
        <v>6221</v>
      </c>
      <c r="E63" s="1">
        <v>6.0</v>
      </c>
      <c r="F63" s="1" t="s">
        <v>234</v>
      </c>
      <c r="G63" s="1">
        <v>2.0</v>
      </c>
      <c r="H63" s="1" t="s">
        <v>239</v>
      </c>
      <c r="I63" s="1">
        <v>2.0</v>
      </c>
      <c r="J63" s="1" t="s">
        <v>240</v>
      </c>
      <c r="K63" s="1">
        <v>1.0</v>
      </c>
      <c r="L63" s="1" t="s">
        <v>241</v>
      </c>
    </row>
    <row r="64">
      <c r="A64" s="5" t="s">
        <v>242</v>
      </c>
      <c r="B64" t="str">
        <f t="shared" si="9"/>
        <v>Topical: Lotion, Original Formula, Individual (0.5oz bar)</v>
      </c>
      <c r="C64" s="1" t="s">
        <v>244</v>
      </c>
      <c r="D64" s="6" t="str">
        <f t="shared" si="10"/>
        <v>6231</v>
      </c>
      <c r="E64" s="1">
        <v>6.0</v>
      </c>
      <c r="F64" s="1" t="s">
        <v>234</v>
      </c>
      <c r="G64" s="1">
        <v>2.0</v>
      </c>
      <c r="H64" s="1" t="s">
        <v>239</v>
      </c>
      <c r="I64" s="1">
        <v>3.0</v>
      </c>
      <c r="J64" s="1" t="s">
        <v>86</v>
      </c>
      <c r="K64" s="1">
        <v>1.0</v>
      </c>
      <c r="L64" s="1" t="s">
        <v>245</v>
      </c>
    </row>
    <row r="65">
      <c r="A65" s="6"/>
      <c r="B65" s="15" t="str">
        <f t="shared" si="9"/>
        <v>Topical: Salve, Cayenne Base, Individual (3oz jar)</v>
      </c>
      <c r="D65" s="6" t="str">
        <f t="shared" si="10"/>
        <v>6311</v>
      </c>
      <c r="E65" s="1">
        <v>6.0</v>
      </c>
      <c r="F65" s="1" t="s">
        <v>234</v>
      </c>
      <c r="G65" s="1">
        <v>3.0</v>
      </c>
      <c r="H65" s="1" t="s">
        <v>246</v>
      </c>
      <c r="I65" s="1">
        <v>1.0</v>
      </c>
      <c r="J65" s="1" t="s">
        <v>240</v>
      </c>
      <c r="K65" s="1">
        <v>1.0</v>
      </c>
      <c r="L65" s="1" t="s">
        <v>247</v>
      </c>
    </row>
    <row r="66">
      <c r="A66" s="5" t="s">
        <v>248</v>
      </c>
      <c r="B66" s="15" t="str">
        <f t="shared" si="9"/>
        <v>Vapor: 510 Refill, D8 Distillate (70%), 1mL (700mg)</v>
      </c>
      <c r="C66" s="1" t="s">
        <v>249</v>
      </c>
      <c r="D66" s="6"/>
      <c r="E66" s="1">
        <v>1.0</v>
      </c>
      <c r="F66" s="1" t="s">
        <v>250</v>
      </c>
      <c r="G66" s="1">
        <v>2.0</v>
      </c>
      <c r="H66" s="1" t="s">
        <v>251</v>
      </c>
      <c r="I66" s="1">
        <v>3.0</v>
      </c>
      <c r="J66" s="1" t="s">
        <v>252</v>
      </c>
      <c r="K66" s="1">
        <v>1.0</v>
      </c>
      <c r="L66" s="1" t="s">
        <v>253</v>
      </c>
    </row>
    <row r="67">
      <c r="A67" s="6"/>
      <c r="B67" t="str">
        <f t="shared" si="9"/>
        <v>Vapor: 510 Refill, Fresh Flavor, 0.5mL (200mg)</v>
      </c>
      <c r="D67" s="6" t="str">
        <f t="shared" ref="D67:D85" si="11">E67&amp;G67&amp;I67&amp;K67</f>
        <v>1222</v>
      </c>
      <c r="E67" s="1">
        <v>1.0</v>
      </c>
      <c r="F67" s="1" t="s">
        <v>250</v>
      </c>
      <c r="G67" s="1">
        <v>2.0</v>
      </c>
      <c r="H67" s="1" t="s">
        <v>251</v>
      </c>
      <c r="I67" s="1">
        <v>2.0</v>
      </c>
      <c r="J67" s="1" t="s">
        <v>255</v>
      </c>
      <c r="K67" s="1">
        <v>2.0</v>
      </c>
      <c r="L67" s="1" t="s">
        <v>256</v>
      </c>
    </row>
    <row r="68">
      <c r="A68" s="5" t="s">
        <v>257</v>
      </c>
      <c r="B68" t="str">
        <f t="shared" si="9"/>
        <v>Vapor: 510 Refill, Fresh Flavor, 1mL (400mg)</v>
      </c>
      <c r="C68" s="1" t="s">
        <v>258</v>
      </c>
      <c r="D68" s="6" t="str">
        <f t="shared" si="11"/>
        <v>1221</v>
      </c>
      <c r="E68" s="1">
        <v>1.0</v>
      </c>
      <c r="F68" s="1" t="s">
        <v>250</v>
      </c>
      <c r="G68" s="1">
        <v>2.0</v>
      </c>
      <c r="H68" s="1" t="s">
        <v>251</v>
      </c>
      <c r="I68" s="1">
        <v>2.0</v>
      </c>
      <c r="J68" s="1" t="s">
        <v>255</v>
      </c>
      <c r="K68" s="1">
        <v>1.0</v>
      </c>
      <c r="L68" s="1" t="s">
        <v>260</v>
      </c>
    </row>
    <row r="69">
      <c r="A69" s="6"/>
      <c r="B69" t="str">
        <f t="shared" si="9"/>
        <v>Vapor: 510 Refill, Raw Flavor, 0.5mL (200mg)</v>
      </c>
      <c r="D69" s="6" t="str">
        <f t="shared" si="11"/>
        <v>1212</v>
      </c>
      <c r="E69" s="1">
        <v>1.0</v>
      </c>
      <c r="F69" s="1" t="s">
        <v>250</v>
      </c>
      <c r="G69" s="1">
        <v>2.0</v>
      </c>
      <c r="H69" s="1" t="s">
        <v>251</v>
      </c>
      <c r="I69" s="1">
        <v>1.0</v>
      </c>
      <c r="J69" s="1" t="s">
        <v>261</v>
      </c>
      <c r="K69" s="1">
        <v>2.0</v>
      </c>
      <c r="L69" s="1" t="s">
        <v>256</v>
      </c>
    </row>
    <row r="70">
      <c r="A70" s="5" t="s">
        <v>262</v>
      </c>
      <c r="B70" t="str">
        <f t="shared" si="9"/>
        <v>Vapor: 510 Refill, Raw Flavor, 1mL (400mg)</v>
      </c>
      <c r="C70" s="1" t="s">
        <v>263</v>
      </c>
      <c r="D70" s="6" t="str">
        <f t="shared" si="11"/>
        <v>1211</v>
      </c>
      <c r="E70" s="1">
        <v>1.0</v>
      </c>
      <c r="F70" s="1" t="s">
        <v>250</v>
      </c>
      <c r="G70" s="1">
        <v>2.0</v>
      </c>
      <c r="H70" s="1" t="s">
        <v>251</v>
      </c>
      <c r="I70" s="1">
        <v>1.0</v>
      </c>
      <c r="J70" s="1" t="s">
        <v>261</v>
      </c>
      <c r="K70" s="1">
        <v>1.0</v>
      </c>
      <c r="L70" s="1" t="s">
        <v>260</v>
      </c>
    </row>
    <row r="71">
      <c r="A71" s="6"/>
      <c r="B71" t="str">
        <f t="shared" si="9"/>
        <v>Vapor: Escape Pod, 1 Raw, 1 Fresh, 2-Pack</v>
      </c>
      <c r="D71" s="6" t="str">
        <f t="shared" si="11"/>
        <v>1334</v>
      </c>
      <c r="E71" s="1">
        <v>1.0</v>
      </c>
      <c r="F71" s="1" t="s">
        <v>250</v>
      </c>
      <c r="G71" s="1">
        <v>3.0</v>
      </c>
      <c r="H71" s="1" t="s">
        <v>265</v>
      </c>
      <c r="I71" s="1">
        <v>3.0</v>
      </c>
      <c r="J71" s="1" t="s">
        <v>266</v>
      </c>
      <c r="K71" s="1">
        <v>4.0</v>
      </c>
      <c r="L71" s="1" t="s">
        <v>267</v>
      </c>
    </row>
    <row r="72">
      <c r="A72" s="6"/>
      <c r="B72" t="str">
        <f t="shared" si="9"/>
        <v>Vapor: Escape Pod, 2 Fresh, 2-Pack</v>
      </c>
      <c r="D72" s="6" t="str">
        <f t="shared" si="11"/>
        <v>1354</v>
      </c>
      <c r="E72" s="1">
        <v>1.0</v>
      </c>
      <c r="F72" s="1" t="s">
        <v>250</v>
      </c>
      <c r="G72" s="1">
        <v>3.0</v>
      </c>
      <c r="H72" s="1" t="s">
        <v>265</v>
      </c>
      <c r="I72" s="1">
        <v>5.0</v>
      </c>
      <c r="J72" s="1" t="s">
        <v>269</v>
      </c>
      <c r="K72" s="1">
        <v>4.0</v>
      </c>
      <c r="L72" s="1" t="s">
        <v>267</v>
      </c>
    </row>
    <row r="73">
      <c r="A73" s="6"/>
      <c r="B73" t="str">
        <f t="shared" si="9"/>
        <v>Vapor: Escape Pod, 2 Raw, 2-Pack</v>
      </c>
      <c r="D73" s="6" t="str">
        <f t="shared" si="11"/>
        <v>1344</v>
      </c>
      <c r="E73" s="1">
        <v>1.0</v>
      </c>
      <c r="F73" s="1" t="s">
        <v>250</v>
      </c>
      <c r="G73" s="1">
        <v>3.0</v>
      </c>
      <c r="H73" s="1" t="s">
        <v>265</v>
      </c>
      <c r="I73" s="1">
        <v>4.0</v>
      </c>
      <c r="J73" s="1" t="s">
        <v>270</v>
      </c>
      <c r="K73" s="1">
        <v>4.0</v>
      </c>
      <c r="L73" s="1" t="s">
        <v>267</v>
      </c>
    </row>
    <row r="74">
      <c r="A74" s="5" t="s">
        <v>271</v>
      </c>
      <c r="B74" t="str">
        <f t="shared" si="9"/>
        <v>Vapor: Escape Pod, Fresh Flavor, 1-Pack</v>
      </c>
      <c r="D74" s="6" t="str">
        <f t="shared" si="11"/>
        <v>1323</v>
      </c>
      <c r="E74" s="1">
        <v>1.0</v>
      </c>
      <c r="F74" s="1" t="s">
        <v>250</v>
      </c>
      <c r="G74" s="1">
        <v>3.0</v>
      </c>
      <c r="H74" s="1" t="s">
        <v>265</v>
      </c>
      <c r="I74" s="1">
        <v>2.0</v>
      </c>
      <c r="J74" s="1" t="s">
        <v>255</v>
      </c>
      <c r="K74" s="1">
        <v>3.0</v>
      </c>
      <c r="L74" s="1" t="s">
        <v>272</v>
      </c>
    </row>
    <row r="75">
      <c r="A75" s="6"/>
      <c r="B75" t="str">
        <f t="shared" si="9"/>
        <v>Vapor: Escape Pod, Fresh Flavor, 4-Pack</v>
      </c>
      <c r="D75" s="6" t="str">
        <f t="shared" si="11"/>
        <v>1325</v>
      </c>
      <c r="E75" s="1">
        <v>1.0</v>
      </c>
      <c r="F75" s="1" t="s">
        <v>250</v>
      </c>
      <c r="G75" s="1">
        <v>3.0</v>
      </c>
      <c r="H75" s="1" t="s">
        <v>265</v>
      </c>
      <c r="I75" s="1">
        <v>2.0</v>
      </c>
      <c r="J75" s="1" t="s">
        <v>255</v>
      </c>
      <c r="K75" s="1">
        <v>5.0</v>
      </c>
      <c r="L75" s="1" t="s">
        <v>274</v>
      </c>
    </row>
    <row r="76">
      <c r="A76" s="5" t="s">
        <v>275</v>
      </c>
      <c r="B76" t="str">
        <f t="shared" si="9"/>
        <v>Vapor: Escape Pod, Raw Flavor, 1-Pack</v>
      </c>
      <c r="D76" s="6" t="str">
        <f t="shared" si="11"/>
        <v>1313</v>
      </c>
      <c r="E76" s="1">
        <v>1.0</v>
      </c>
      <c r="F76" s="1" t="s">
        <v>250</v>
      </c>
      <c r="G76" s="1">
        <v>3.0</v>
      </c>
      <c r="H76" s="1" t="s">
        <v>265</v>
      </c>
      <c r="I76" s="1">
        <v>1.0</v>
      </c>
      <c r="J76" s="1" t="s">
        <v>261</v>
      </c>
      <c r="K76" s="1">
        <v>3.0</v>
      </c>
      <c r="L76" s="1" t="s">
        <v>272</v>
      </c>
    </row>
    <row r="77">
      <c r="A77" s="6"/>
      <c r="B77" t="str">
        <f t="shared" si="9"/>
        <v>Vapor: Escape Pod, Raw Flavor, 4-Pack</v>
      </c>
      <c r="D77" s="6" t="str">
        <f t="shared" si="11"/>
        <v>1315</v>
      </c>
      <c r="E77" s="1">
        <v>1.0</v>
      </c>
      <c r="F77" s="1" t="s">
        <v>250</v>
      </c>
      <c r="G77" s="1">
        <v>3.0</v>
      </c>
      <c r="H77" s="1" t="s">
        <v>265</v>
      </c>
      <c r="I77" s="1">
        <v>1.0</v>
      </c>
      <c r="J77" s="1" t="s">
        <v>261</v>
      </c>
      <c r="K77" s="1">
        <v>5.0</v>
      </c>
      <c r="L77" s="1" t="s">
        <v>274</v>
      </c>
    </row>
    <row r="78">
      <c r="A78" s="6"/>
      <c r="B78" t="str">
        <f t="shared" si="9"/>
        <v>Vapor: Hardware Only, 350mAH, button battery, The one that says "CBD"</v>
      </c>
      <c r="D78" s="6" t="str">
        <f t="shared" si="11"/>
        <v>1511</v>
      </c>
      <c r="E78" s="1">
        <v>1.0</v>
      </c>
      <c r="F78" s="1" t="s">
        <v>250</v>
      </c>
      <c r="G78" s="1">
        <v>5.0</v>
      </c>
      <c r="H78" s="1" t="s">
        <v>277</v>
      </c>
      <c r="I78" s="1">
        <v>1.0</v>
      </c>
      <c r="J78" s="1" t="s">
        <v>278</v>
      </c>
      <c r="K78" s="1">
        <v>1.0</v>
      </c>
      <c r="L78" s="1" t="s">
        <v>279</v>
      </c>
    </row>
    <row r="79">
      <c r="A79" s="5" t="s">
        <v>280</v>
      </c>
      <c r="B79" t="str">
        <f t="shared" si="9"/>
        <v>Vapor: Vape Juice, Fresh Flavor, 20% CBD (1000mg)</v>
      </c>
      <c r="C79" s="1" t="s">
        <v>282</v>
      </c>
      <c r="D79" s="6" t="str">
        <f t="shared" si="11"/>
        <v>1422</v>
      </c>
      <c r="E79" s="1">
        <v>1.0</v>
      </c>
      <c r="F79" s="1" t="s">
        <v>250</v>
      </c>
      <c r="G79" s="1">
        <v>4.0</v>
      </c>
      <c r="H79" s="1" t="s">
        <v>283</v>
      </c>
      <c r="I79" s="1">
        <v>2.0</v>
      </c>
      <c r="J79" s="1" t="s">
        <v>255</v>
      </c>
      <c r="K79" s="1">
        <v>2.0</v>
      </c>
      <c r="L79" s="1" t="s">
        <v>284</v>
      </c>
    </row>
    <row r="80">
      <c r="A80" s="5" t="s">
        <v>285</v>
      </c>
      <c r="B80" t="str">
        <f t="shared" si="9"/>
        <v>Vapor: Vape Juice, Fresh Flavor, 40% CBD (2000mg)</v>
      </c>
      <c r="C80" s="1" t="s">
        <v>286</v>
      </c>
      <c r="D80" s="6" t="str">
        <f t="shared" si="11"/>
        <v>1421</v>
      </c>
      <c r="E80" s="1">
        <v>1.0</v>
      </c>
      <c r="F80" s="1" t="s">
        <v>250</v>
      </c>
      <c r="G80" s="1">
        <v>4.0</v>
      </c>
      <c r="H80" s="1" t="s">
        <v>283</v>
      </c>
      <c r="I80" s="1">
        <v>2.0</v>
      </c>
      <c r="J80" s="1" t="s">
        <v>255</v>
      </c>
      <c r="K80" s="1">
        <v>1.0</v>
      </c>
      <c r="L80" s="1" t="s">
        <v>287</v>
      </c>
    </row>
    <row r="81">
      <c r="A81" s="5" t="s">
        <v>288</v>
      </c>
      <c r="B81" t="str">
        <f t="shared" si="9"/>
        <v>Vapor: Vape Juice, Raw Flavor, 20% CBD (1000mg)</v>
      </c>
      <c r="C81" s="1" t="s">
        <v>290</v>
      </c>
      <c r="D81" s="6" t="str">
        <f t="shared" si="11"/>
        <v>1412</v>
      </c>
      <c r="E81" s="1">
        <v>1.0</v>
      </c>
      <c r="F81" s="1" t="s">
        <v>250</v>
      </c>
      <c r="G81" s="1">
        <v>4.0</v>
      </c>
      <c r="H81" s="1" t="s">
        <v>283</v>
      </c>
      <c r="I81" s="1">
        <v>1.0</v>
      </c>
      <c r="J81" s="1" t="s">
        <v>261</v>
      </c>
      <c r="K81" s="1">
        <v>2.0</v>
      </c>
      <c r="L81" s="1" t="s">
        <v>284</v>
      </c>
    </row>
    <row r="82">
      <c r="A82" s="5" t="s">
        <v>291</v>
      </c>
      <c r="B82" t="str">
        <f t="shared" si="9"/>
        <v>Vapor: Vape Juice, Raw Flavor, 40% CBD (2000mg)</v>
      </c>
      <c r="C82" s="1" t="s">
        <v>292</v>
      </c>
      <c r="D82" s="6" t="str">
        <f t="shared" si="11"/>
        <v>1411</v>
      </c>
      <c r="E82" s="1">
        <v>1.0</v>
      </c>
      <c r="F82" s="1" t="s">
        <v>250</v>
      </c>
      <c r="G82" s="1">
        <v>4.0</v>
      </c>
      <c r="H82" s="1" t="s">
        <v>283</v>
      </c>
      <c r="I82" s="1">
        <v>1.0</v>
      </c>
      <c r="J82" s="1" t="s">
        <v>261</v>
      </c>
      <c r="K82" s="1">
        <v>1.0</v>
      </c>
      <c r="L82" s="1" t="s">
        <v>287</v>
      </c>
    </row>
    <row r="83">
      <c r="A83" s="5" t="s">
        <v>293</v>
      </c>
      <c r="B83" t="str">
        <f t="shared" si="9"/>
        <v>Vapor: Vape Pod System, 1 Raw, 1 Fresh, 2x1mL (40% CBD)</v>
      </c>
      <c r="D83" s="6" t="str">
        <f t="shared" si="11"/>
        <v>1132</v>
      </c>
      <c r="E83" s="1">
        <v>1.0</v>
      </c>
      <c r="F83" s="1" t="s">
        <v>250</v>
      </c>
      <c r="G83" s="1">
        <v>1.0</v>
      </c>
      <c r="H83" s="1" t="s">
        <v>295</v>
      </c>
      <c r="I83" s="1">
        <v>3.0</v>
      </c>
      <c r="J83" s="1" t="s">
        <v>266</v>
      </c>
      <c r="K83" s="1">
        <v>2.0</v>
      </c>
      <c r="L83" s="1" t="s">
        <v>296</v>
      </c>
    </row>
    <row r="84">
      <c r="A84" s="5" t="s">
        <v>297</v>
      </c>
      <c r="B84" t="str">
        <f t="shared" si="9"/>
        <v>Vapor: Vape Pod System, Fresh Flavor, 1mL (400mg)</v>
      </c>
      <c r="C84" s="1" t="s">
        <v>298</v>
      </c>
      <c r="D84" s="6" t="str">
        <f t="shared" si="11"/>
        <v>1121</v>
      </c>
      <c r="E84" s="1">
        <v>1.0</v>
      </c>
      <c r="F84" s="1" t="s">
        <v>250</v>
      </c>
      <c r="G84" s="1">
        <v>1.0</v>
      </c>
      <c r="H84" s="1" t="s">
        <v>295</v>
      </c>
      <c r="I84" s="1">
        <v>2.0</v>
      </c>
      <c r="J84" s="1" t="s">
        <v>255</v>
      </c>
      <c r="K84" s="1">
        <v>1.0</v>
      </c>
      <c r="L84" s="1" t="s">
        <v>260</v>
      </c>
    </row>
    <row r="85">
      <c r="A85" s="5" t="s">
        <v>299</v>
      </c>
      <c r="B85" t="str">
        <f t="shared" si="9"/>
        <v>Vapor: Vape Pod System, Raw Flavor, 1mL (400mg)</v>
      </c>
      <c r="C85" s="1" t="s">
        <v>300</v>
      </c>
      <c r="D85" s="6" t="str">
        <f t="shared" si="11"/>
        <v>1111</v>
      </c>
      <c r="E85" s="1">
        <v>1.0</v>
      </c>
      <c r="F85" s="1" t="s">
        <v>250</v>
      </c>
      <c r="G85" s="1">
        <v>1.0</v>
      </c>
      <c r="H85" s="1" t="s">
        <v>295</v>
      </c>
      <c r="I85" s="1">
        <v>1.0</v>
      </c>
      <c r="J85" s="1" t="s">
        <v>261</v>
      </c>
      <c r="K85" s="1">
        <v>1.0</v>
      </c>
      <c r="L85" s="1" t="s">
        <v>260</v>
      </c>
    </row>
    <row r="86">
      <c r="A86" s="6"/>
      <c r="D86" s="6"/>
    </row>
    <row r="87">
      <c r="A87" s="6"/>
      <c r="D87" s="6"/>
    </row>
    <row r="88">
      <c r="A88" s="6"/>
      <c r="D88" s="6"/>
    </row>
    <row r="89">
      <c r="A89" s="6"/>
      <c r="D89" s="6"/>
    </row>
    <row r="90">
      <c r="A90" s="6"/>
      <c r="D90" s="6"/>
    </row>
    <row r="91">
      <c r="A91" s="6"/>
      <c r="D91" s="6"/>
    </row>
    <row r="92">
      <c r="A92" s="6"/>
      <c r="D92" s="6"/>
    </row>
    <row r="93">
      <c r="A93" s="6"/>
      <c r="D93" s="6"/>
    </row>
    <row r="94">
      <c r="A94" s="6"/>
      <c r="D94" s="6"/>
    </row>
    <row r="95">
      <c r="A95" s="6"/>
      <c r="D95" s="6"/>
    </row>
    <row r="96">
      <c r="A96" s="6"/>
      <c r="D96" s="6"/>
    </row>
    <row r="97">
      <c r="A97" s="6"/>
      <c r="D97" s="6"/>
    </row>
    <row r="98">
      <c r="A98" s="6"/>
      <c r="D98" s="6"/>
    </row>
    <row r="99">
      <c r="A99" s="6"/>
      <c r="D99" s="6"/>
    </row>
    <row r="100">
      <c r="A100" s="6"/>
      <c r="D100" s="6"/>
    </row>
    <row r="101">
      <c r="A101" s="6"/>
      <c r="D101" s="6"/>
    </row>
    <row r="102">
      <c r="A102" s="6"/>
      <c r="D102" s="6"/>
    </row>
    <row r="103">
      <c r="A103" s="6"/>
      <c r="D103" s="6"/>
    </row>
    <row r="104">
      <c r="A104" s="6"/>
      <c r="D104" s="6"/>
    </row>
    <row r="105">
      <c r="A105" s="6"/>
      <c r="D105" s="6"/>
    </row>
    <row r="106">
      <c r="A106" s="6"/>
      <c r="D106" s="6"/>
    </row>
    <row r="107">
      <c r="A107" s="6"/>
      <c r="D107" s="6"/>
    </row>
    <row r="108">
      <c r="A108" s="6"/>
      <c r="D108" s="6"/>
    </row>
    <row r="109">
      <c r="A109" s="6"/>
      <c r="D109" s="6"/>
    </row>
    <row r="110">
      <c r="A110" s="6"/>
      <c r="D110" s="6"/>
    </row>
    <row r="111">
      <c r="A111" s="6"/>
      <c r="D111" s="6"/>
    </row>
    <row r="112">
      <c r="A112" s="6"/>
      <c r="D112" s="6"/>
    </row>
    <row r="113">
      <c r="A113" s="6"/>
      <c r="D113" s="6"/>
    </row>
    <row r="114">
      <c r="A114" s="6"/>
      <c r="D114" s="6"/>
    </row>
    <row r="115">
      <c r="A115" s="6"/>
      <c r="D115" s="6"/>
    </row>
    <row r="116">
      <c r="A116" s="6"/>
      <c r="D116" s="6"/>
    </row>
    <row r="117">
      <c r="A117" s="6"/>
      <c r="D117" s="6"/>
    </row>
    <row r="118">
      <c r="A118" s="6"/>
      <c r="D118" s="6"/>
    </row>
    <row r="119">
      <c r="A119" s="6"/>
      <c r="D119" s="6"/>
    </row>
    <row r="120">
      <c r="A120" s="6"/>
      <c r="D120" s="6"/>
    </row>
    <row r="121">
      <c r="A121" s="6"/>
      <c r="D121" s="6"/>
    </row>
    <row r="122">
      <c r="A122" s="6"/>
      <c r="D122" s="6"/>
    </row>
    <row r="123">
      <c r="A123" s="6"/>
      <c r="D123" s="6"/>
    </row>
    <row r="124">
      <c r="A124" s="6"/>
      <c r="D124" s="6"/>
    </row>
    <row r="125">
      <c r="A125" s="6"/>
      <c r="D125" s="6"/>
    </row>
    <row r="126">
      <c r="A126" s="6"/>
      <c r="D126" s="6"/>
    </row>
    <row r="127">
      <c r="A127" s="6"/>
      <c r="D127" s="6"/>
    </row>
    <row r="128">
      <c r="A128" s="6"/>
      <c r="D128" s="6"/>
    </row>
    <row r="129">
      <c r="A129" s="6"/>
      <c r="D129" s="6"/>
    </row>
    <row r="130">
      <c r="A130" s="6"/>
      <c r="D130" s="6"/>
    </row>
    <row r="131">
      <c r="A131" s="6"/>
      <c r="D131" s="6"/>
    </row>
    <row r="132">
      <c r="A132" s="6"/>
      <c r="D132" s="6"/>
    </row>
    <row r="133">
      <c r="A133" s="6"/>
      <c r="D133" s="6"/>
    </row>
    <row r="134">
      <c r="A134" s="6"/>
      <c r="D134" s="6"/>
    </row>
    <row r="135">
      <c r="A135" s="6"/>
      <c r="D135" s="6"/>
    </row>
    <row r="136">
      <c r="A136" s="6"/>
      <c r="D136" s="6"/>
    </row>
    <row r="137">
      <c r="A137" s="6"/>
      <c r="D137" s="6"/>
    </row>
    <row r="138">
      <c r="A138" s="6"/>
      <c r="D138" s="6"/>
    </row>
    <row r="139">
      <c r="A139" s="6"/>
      <c r="D139" s="6"/>
    </row>
    <row r="140">
      <c r="A140" s="6"/>
      <c r="D140" s="6"/>
    </row>
    <row r="141">
      <c r="A141" s="6"/>
      <c r="D141" s="6"/>
    </row>
    <row r="142">
      <c r="A142" s="6"/>
      <c r="D142" s="6"/>
    </row>
    <row r="143">
      <c r="A143" s="6"/>
      <c r="D143" s="6"/>
    </row>
    <row r="144">
      <c r="A144" s="6"/>
      <c r="D144" s="6"/>
    </row>
    <row r="145">
      <c r="A145" s="6"/>
      <c r="D145" s="6"/>
    </row>
    <row r="146">
      <c r="A146" s="6"/>
      <c r="D146" s="6"/>
    </row>
    <row r="147">
      <c r="A147" s="6"/>
      <c r="D147" s="6"/>
    </row>
    <row r="148">
      <c r="A148" s="6"/>
      <c r="D148" s="6"/>
    </row>
    <row r="149">
      <c r="A149" s="6"/>
      <c r="D149" s="6"/>
    </row>
    <row r="150">
      <c r="A150" s="6"/>
      <c r="D150" s="6"/>
    </row>
    <row r="151">
      <c r="A151" s="6"/>
      <c r="D151" s="6"/>
    </row>
    <row r="152">
      <c r="A152" s="6"/>
      <c r="D152" s="6"/>
    </row>
    <row r="153">
      <c r="A153" s="6"/>
      <c r="D153" s="6"/>
    </row>
    <row r="154">
      <c r="A154" s="6"/>
      <c r="D154" s="6"/>
    </row>
    <row r="155">
      <c r="A155" s="6"/>
      <c r="D155" s="6"/>
    </row>
    <row r="156">
      <c r="A156" s="6"/>
      <c r="D156" s="6"/>
    </row>
    <row r="157">
      <c r="A157" s="6"/>
      <c r="D157" s="6"/>
    </row>
    <row r="158">
      <c r="A158" s="6"/>
      <c r="D158" s="6"/>
    </row>
    <row r="159">
      <c r="A159" s="6"/>
      <c r="D159" s="6"/>
    </row>
    <row r="160">
      <c r="A160" s="6"/>
      <c r="D160" s="6"/>
    </row>
    <row r="161">
      <c r="A161" s="6"/>
      <c r="D161" s="6"/>
    </row>
    <row r="162">
      <c r="A162" s="6"/>
      <c r="D162" s="6"/>
    </row>
    <row r="163">
      <c r="A163" s="6"/>
      <c r="D163" s="6"/>
    </row>
    <row r="164">
      <c r="A164" s="6"/>
      <c r="D164" s="6"/>
    </row>
    <row r="165">
      <c r="A165" s="6"/>
      <c r="D165" s="6"/>
    </row>
    <row r="166">
      <c r="A166" s="6"/>
      <c r="D166" s="6"/>
    </row>
    <row r="167">
      <c r="A167" s="6"/>
      <c r="D167" s="6"/>
    </row>
    <row r="168">
      <c r="A168" s="6"/>
      <c r="D168" s="6"/>
    </row>
    <row r="169">
      <c r="A169" s="6"/>
      <c r="D169" s="6"/>
    </row>
    <row r="170">
      <c r="A170" s="6"/>
      <c r="D170" s="6"/>
    </row>
    <row r="171">
      <c r="A171" s="6"/>
      <c r="D171" s="6"/>
    </row>
    <row r="172">
      <c r="A172" s="6"/>
      <c r="D172" s="6"/>
    </row>
    <row r="173">
      <c r="A173" s="6"/>
      <c r="D173" s="6"/>
    </row>
    <row r="174">
      <c r="A174" s="6"/>
      <c r="D174" s="6"/>
    </row>
    <row r="175">
      <c r="A175" s="6"/>
      <c r="D175" s="6"/>
    </row>
    <row r="176">
      <c r="A176" s="6"/>
      <c r="D176" s="6"/>
    </row>
    <row r="177">
      <c r="A177" s="6"/>
      <c r="D177" s="6"/>
    </row>
    <row r="178">
      <c r="A178" s="6"/>
      <c r="D178" s="6"/>
    </row>
    <row r="179">
      <c r="A179" s="6"/>
      <c r="D179" s="6"/>
    </row>
    <row r="180">
      <c r="A180" s="6"/>
      <c r="D180" s="6"/>
    </row>
    <row r="181">
      <c r="A181" s="6"/>
      <c r="D181" s="6"/>
    </row>
    <row r="182">
      <c r="A182" s="6"/>
      <c r="D182" s="6"/>
    </row>
    <row r="183">
      <c r="A183" s="6"/>
      <c r="D183" s="6"/>
    </row>
    <row r="184">
      <c r="A184" s="6"/>
      <c r="D184" s="6"/>
    </row>
    <row r="185">
      <c r="A185" s="6"/>
      <c r="D185" s="6"/>
    </row>
    <row r="186">
      <c r="A186" s="6"/>
      <c r="D186" s="6"/>
    </row>
    <row r="187">
      <c r="A187" s="6"/>
      <c r="D187" s="6"/>
    </row>
    <row r="188">
      <c r="A188" s="6"/>
      <c r="D188" s="6"/>
    </row>
    <row r="189">
      <c r="A189" s="6"/>
      <c r="D189" s="6"/>
    </row>
    <row r="190">
      <c r="A190" s="6"/>
      <c r="D190" s="6"/>
    </row>
    <row r="191">
      <c r="A191" s="6"/>
      <c r="D191" s="6"/>
    </row>
    <row r="192">
      <c r="A192" s="6"/>
      <c r="D192" s="6"/>
    </row>
    <row r="193">
      <c r="A193" s="6"/>
      <c r="D193" s="6"/>
    </row>
    <row r="194">
      <c r="A194" s="6"/>
      <c r="D194" s="6"/>
    </row>
    <row r="195">
      <c r="A195" s="6"/>
      <c r="D195" s="6"/>
    </row>
    <row r="196">
      <c r="A196" s="6"/>
      <c r="D196" s="6"/>
    </row>
    <row r="197">
      <c r="A197" s="6"/>
      <c r="D197" s="6"/>
    </row>
    <row r="198">
      <c r="A198" s="6"/>
      <c r="D198" s="6"/>
    </row>
    <row r="199">
      <c r="A199" s="6"/>
      <c r="D199" s="6"/>
    </row>
    <row r="200">
      <c r="A200" s="6"/>
      <c r="D200" s="6"/>
    </row>
    <row r="201">
      <c r="A201" s="6"/>
      <c r="D201" s="6"/>
    </row>
    <row r="202">
      <c r="A202" s="6"/>
      <c r="D202" s="6"/>
    </row>
    <row r="203">
      <c r="A203" s="6"/>
      <c r="D203" s="6"/>
    </row>
    <row r="204">
      <c r="A204" s="6"/>
      <c r="D204" s="6"/>
    </row>
    <row r="205">
      <c r="A205" s="6"/>
      <c r="D205" s="6"/>
    </row>
    <row r="206">
      <c r="A206" s="6"/>
      <c r="D206" s="6"/>
    </row>
    <row r="207">
      <c r="A207" s="6"/>
      <c r="D207" s="6"/>
    </row>
    <row r="208">
      <c r="A208" s="6"/>
      <c r="D208" s="6"/>
    </row>
    <row r="209">
      <c r="A209" s="6"/>
      <c r="D209" s="6"/>
    </row>
    <row r="210">
      <c r="A210" s="6"/>
      <c r="D210" s="6"/>
    </row>
    <row r="211">
      <c r="A211" s="6"/>
      <c r="D211" s="6"/>
    </row>
    <row r="212">
      <c r="A212" s="6"/>
      <c r="D212" s="6"/>
    </row>
    <row r="213">
      <c r="A213" s="6"/>
      <c r="D213" s="6"/>
    </row>
    <row r="214">
      <c r="A214" s="6"/>
      <c r="D214" s="6"/>
    </row>
    <row r="215">
      <c r="A215" s="6"/>
      <c r="D215" s="6"/>
    </row>
    <row r="216">
      <c r="A216" s="6"/>
      <c r="D216" s="6"/>
    </row>
    <row r="217">
      <c r="A217" s="6"/>
      <c r="D217" s="6"/>
    </row>
    <row r="218">
      <c r="A218" s="6"/>
      <c r="D218" s="6"/>
    </row>
    <row r="219">
      <c r="A219" s="6"/>
      <c r="D219" s="6"/>
    </row>
    <row r="220">
      <c r="A220" s="6"/>
      <c r="D220" s="6"/>
    </row>
    <row r="221">
      <c r="A221" s="6"/>
      <c r="D221" s="6"/>
    </row>
    <row r="222">
      <c r="A222" s="6"/>
      <c r="D222" s="6"/>
    </row>
    <row r="223">
      <c r="A223" s="6"/>
      <c r="D223" s="6"/>
    </row>
    <row r="224">
      <c r="A224" s="6"/>
      <c r="D224" s="6"/>
    </row>
    <row r="225">
      <c r="A225" s="6"/>
      <c r="D225" s="6"/>
    </row>
    <row r="226">
      <c r="A226" s="6"/>
      <c r="D226" s="6"/>
    </row>
    <row r="227">
      <c r="A227" s="6"/>
      <c r="D227" s="6"/>
    </row>
    <row r="228">
      <c r="A228" s="6"/>
      <c r="D228" s="6"/>
    </row>
    <row r="229">
      <c r="A229" s="6"/>
      <c r="D229" s="6"/>
    </row>
    <row r="230">
      <c r="A230" s="6"/>
      <c r="D230" s="6"/>
    </row>
    <row r="231">
      <c r="A231" s="6"/>
      <c r="D231" s="6"/>
    </row>
    <row r="232">
      <c r="A232" s="6"/>
      <c r="D232" s="6"/>
    </row>
    <row r="233">
      <c r="A233" s="6"/>
      <c r="D233" s="6"/>
    </row>
    <row r="234">
      <c r="A234" s="6"/>
      <c r="D234" s="6"/>
    </row>
    <row r="235">
      <c r="A235" s="6"/>
      <c r="D235" s="6"/>
    </row>
    <row r="236">
      <c r="A236" s="6"/>
      <c r="D236" s="6"/>
    </row>
    <row r="237">
      <c r="A237" s="6"/>
      <c r="D237" s="6"/>
    </row>
    <row r="238">
      <c r="A238" s="6"/>
      <c r="D238" s="6"/>
    </row>
    <row r="239">
      <c r="A239" s="6"/>
      <c r="D239" s="6"/>
    </row>
    <row r="240">
      <c r="A240" s="6"/>
      <c r="D240" s="6"/>
    </row>
    <row r="241">
      <c r="A241" s="6"/>
      <c r="D241" s="6"/>
    </row>
    <row r="242">
      <c r="A242" s="6"/>
      <c r="D242" s="6"/>
    </row>
    <row r="243">
      <c r="A243" s="6"/>
      <c r="D243" s="6"/>
    </row>
    <row r="244">
      <c r="A244" s="6"/>
      <c r="D244" s="6"/>
    </row>
    <row r="245">
      <c r="A245" s="6"/>
      <c r="D245" s="6"/>
    </row>
    <row r="246">
      <c r="A246" s="6"/>
      <c r="D246" s="6"/>
    </row>
    <row r="247">
      <c r="A247" s="6"/>
      <c r="D247" s="6"/>
    </row>
    <row r="248">
      <c r="A248" s="6"/>
      <c r="D248" s="6"/>
    </row>
    <row r="249">
      <c r="A249" s="6"/>
      <c r="D249" s="6"/>
    </row>
    <row r="250">
      <c r="A250" s="6"/>
      <c r="D250" s="6"/>
    </row>
    <row r="251">
      <c r="A251" s="6"/>
      <c r="D251" s="6"/>
    </row>
    <row r="252">
      <c r="A252" s="6"/>
      <c r="D252" s="6"/>
    </row>
    <row r="253">
      <c r="A253" s="6"/>
      <c r="D253" s="6"/>
    </row>
    <row r="254">
      <c r="A254" s="6"/>
      <c r="D254" s="6"/>
    </row>
    <row r="255">
      <c r="A255" s="6"/>
      <c r="D255" s="6"/>
    </row>
    <row r="256">
      <c r="A256" s="6"/>
      <c r="D256" s="6"/>
    </row>
    <row r="257">
      <c r="A257" s="6"/>
      <c r="D257" s="6"/>
    </row>
    <row r="258">
      <c r="A258" s="6"/>
      <c r="D258" s="6"/>
    </row>
    <row r="259">
      <c r="A259" s="6"/>
      <c r="D259" s="6"/>
    </row>
    <row r="260">
      <c r="A260" s="6"/>
      <c r="D260" s="6"/>
    </row>
    <row r="261">
      <c r="A261" s="6"/>
      <c r="D261" s="6"/>
    </row>
    <row r="262">
      <c r="A262" s="6"/>
      <c r="D262" s="6"/>
    </row>
    <row r="263">
      <c r="A263" s="6"/>
      <c r="D263" s="6"/>
    </row>
    <row r="264">
      <c r="A264" s="6"/>
      <c r="D264" s="6"/>
    </row>
    <row r="265">
      <c r="A265" s="6"/>
      <c r="D265" s="6"/>
    </row>
    <row r="266">
      <c r="A266" s="6"/>
      <c r="D266" s="6"/>
    </row>
    <row r="267">
      <c r="A267" s="6"/>
      <c r="D267" s="6"/>
    </row>
    <row r="268">
      <c r="A268" s="6"/>
      <c r="D268" s="6"/>
    </row>
    <row r="269">
      <c r="A269" s="6"/>
      <c r="D269" s="6"/>
    </row>
    <row r="270">
      <c r="A270" s="6"/>
      <c r="D270" s="6"/>
    </row>
    <row r="271">
      <c r="A271" s="6"/>
      <c r="D271" s="6"/>
    </row>
    <row r="272">
      <c r="A272" s="6"/>
      <c r="D272" s="6"/>
    </row>
    <row r="273">
      <c r="A273" s="6"/>
      <c r="D273" s="6"/>
    </row>
    <row r="274">
      <c r="A274" s="6"/>
      <c r="D274" s="6"/>
    </row>
    <row r="275">
      <c r="A275" s="6"/>
      <c r="D275" s="6"/>
    </row>
    <row r="276">
      <c r="A276" s="6"/>
      <c r="D276" s="6"/>
    </row>
    <row r="277">
      <c r="A277" s="6"/>
      <c r="D277" s="6"/>
    </row>
    <row r="278">
      <c r="A278" s="6"/>
      <c r="D278" s="6"/>
    </row>
    <row r="279">
      <c r="A279" s="6"/>
      <c r="D279" s="6"/>
    </row>
    <row r="280">
      <c r="A280" s="6"/>
      <c r="D280" s="6"/>
    </row>
    <row r="281">
      <c r="A281" s="6"/>
      <c r="D281" s="6"/>
    </row>
    <row r="282">
      <c r="A282" s="6"/>
      <c r="D282" s="6"/>
    </row>
    <row r="283">
      <c r="A283" s="6"/>
      <c r="D283" s="6"/>
    </row>
    <row r="284">
      <c r="A284" s="6"/>
      <c r="D284" s="6"/>
    </row>
    <row r="285">
      <c r="A285" s="6"/>
      <c r="D285" s="6"/>
    </row>
    <row r="286">
      <c r="A286" s="6"/>
      <c r="D286" s="6"/>
    </row>
    <row r="287">
      <c r="A287" s="6"/>
      <c r="D287" s="6"/>
    </row>
    <row r="288">
      <c r="A288" s="6"/>
      <c r="D288" s="6"/>
    </row>
    <row r="289">
      <c r="A289" s="6"/>
      <c r="D289" s="6"/>
    </row>
    <row r="290">
      <c r="A290" s="6"/>
      <c r="D290" s="6"/>
    </row>
    <row r="291">
      <c r="A291" s="6"/>
      <c r="D291" s="6"/>
    </row>
    <row r="292">
      <c r="A292" s="6"/>
      <c r="D292" s="6"/>
    </row>
    <row r="293">
      <c r="A293" s="6"/>
      <c r="D293" s="6"/>
    </row>
    <row r="294">
      <c r="A294" s="6"/>
      <c r="D294" s="6"/>
    </row>
    <row r="295">
      <c r="A295" s="6"/>
      <c r="D295" s="6"/>
    </row>
    <row r="296">
      <c r="A296" s="6"/>
      <c r="D296" s="6"/>
    </row>
    <row r="297">
      <c r="A297" s="6"/>
      <c r="D297" s="6"/>
    </row>
    <row r="298">
      <c r="A298" s="6"/>
      <c r="D298" s="6"/>
    </row>
    <row r="299">
      <c r="A299" s="6"/>
      <c r="D299" s="6"/>
    </row>
    <row r="300">
      <c r="A300" s="6"/>
      <c r="D300" s="6"/>
    </row>
    <row r="301">
      <c r="A301" s="6"/>
      <c r="D301" s="6"/>
    </row>
    <row r="302">
      <c r="A302" s="6"/>
      <c r="D302" s="6"/>
    </row>
    <row r="303">
      <c r="A303" s="6"/>
      <c r="D303" s="6"/>
    </row>
    <row r="304">
      <c r="A304" s="6"/>
      <c r="D304" s="6"/>
    </row>
    <row r="305">
      <c r="A305" s="6"/>
      <c r="D305" s="6"/>
    </row>
    <row r="306">
      <c r="A306" s="6"/>
      <c r="D306" s="6"/>
    </row>
    <row r="307">
      <c r="A307" s="6"/>
      <c r="D307" s="6"/>
    </row>
    <row r="308">
      <c r="A308" s="6"/>
      <c r="D308" s="6"/>
    </row>
    <row r="309">
      <c r="A309" s="6"/>
      <c r="D309" s="6"/>
    </row>
    <row r="310">
      <c r="A310" s="6"/>
      <c r="D310" s="6"/>
    </row>
    <row r="311">
      <c r="A311" s="6"/>
      <c r="D311" s="6"/>
    </row>
    <row r="312">
      <c r="A312" s="6"/>
      <c r="D312" s="6"/>
    </row>
    <row r="313">
      <c r="A313" s="6"/>
      <c r="D313" s="6"/>
    </row>
    <row r="314">
      <c r="A314" s="6"/>
      <c r="D314" s="6"/>
    </row>
    <row r="315">
      <c r="A315" s="6"/>
      <c r="D315" s="6"/>
    </row>
    <row r="316">
      <c r="A316" s="6"/>
      <c r="D316" s="6"/>
    </row>
    <row r="317">
      <c r="A317" s="6"/>
      <c r="D317" s="6"/>
    </row>
    <row r="318">
      <c r="A318" s="6"/>
      <c r="D318" s="6"/>
    </row>
    <row r="319">
      <c r="A319" s="6"/>
      <c r="D319" s="6"/>
    </row>
    <row r="320">
      <c r="A320" s="6"/>
      <c r="D320" s="6"/>
    </row>
    <row r="321">
      <c r="A321" s="6"/>
      <c r="D321" s="6"/>
    </row>
    <row r="322">
      <c r="A322" s="6"/>
      <c r="D322" s="6"/>
    </row>
    <row r="323">
      <c r="A323" s="6"/>
      <c r="D323" s="6"/>
    </row>
    <row r="324">
      <c r="A324" s="6"/>
      <c r="D324" s="6"/>
    </row>
    <row r="325">
      <c r="A325" s="6"/>
      <c r="D325" s="6"/>
    </row>
    <row r="326">
      <c r="A326" s="6"/>
      <c r="D326" s="6"/>
    </row>
    <row r="327">
      <c r="A327" s="6"/>
      <c r="D327" s="6"/>
    </row>
    <row r="328">
      <c r="A328" s="6"/>
      <c r="D328" s="6"/>
    </row>
    <row r="329">
      <c r="A329" s="6"/>
      <c r="D329" s="6"/>
    </row>
    <row r="330">
      <c r="A330" s="6"/>
      <c r="D330" s="6"/>
    </row>
    <row r="331">
      <c r="A331" s="6"/>
      <c r="D331" s="6"/>
    </row>
    <row r="332">
      <c r="A332" s="6"/>
      <c r="D332" s="6"/>
    </row>
    <row r="333">
      <c r="A333" s="6"/>
      <c r="D333" s="6"/>
    </row>
    <row r="334">
      <c r="A334" s="6"/>
      <c r="D334" s="6"/>
    </row>
    <row r="335">
      <c r="A335" s="6"/>
      <c r="D335" s="6"/>
    </row>
    <row r="336">
      <c r="A336" s="6"/>
      <c r="D336" s="6"/>
    </row>
    <row r="337">
      <c r="A337" s="6"/>
      <c r="D337" s="6"/>
    </row>
    <row r="338">
      <c r="A338" s="6"/>
      <c r="D338" s="6"/>
    </row>
    <row r="339">
      <c r="A339" s="6"/>
      <c r="D339" s="6"/>
    </row>
    <row r="340">
      <c r="A340" s="6"/>
      <c r="D340" s="6"/>
    </row>
    <row r="341">
      <c r="A341" s="6"/>
      <c r="D341" s="6"/>
    </row>
    <row r="342">
      <c r="A342" s="6"/>
      <c r="D342" s="6"/>
    </row>
    <row r="343">
      <c r="A343" s="6"/>
      <c r="D343" s="6"/>
    </row>
    <row r="344">
      <c r="A344" s="6"/>
      <c r="D344" s="6"/>
    </row>
    <row r="345">
      <c r="A345" s="6"/>
      <c r="D345" s="6"/>
    </row>
    <row r="346">
      <c r="A346" s="6"/>
      <c r="D346" s="6"/>
    </row>
    <row r="347">
      <c r="A347" s="6"/>
      <c r="D347" s="6"/>
    </row>
    <row r="348">
      <c r="A348" s="6"/>
      <c r="D348" s="6"/>
    </row>
    <row r="349">
      <c r="A349" s="6"/>
      <c r="D349" s="6"/>
    </row>
    <row r="350">
      <c r="A350" s="6"/>
      <c r="D350" s="6"/>
    </row>
    <row r="351">
      <c r="A351" s="6"/>
      <c r="D351" s="6"/>
    </row>
    <row r="352">
      <c r="A352" s="6"/>
      <c r="D352" s="6"/>
    </row>
    <row r="353">
      <c r="A353" s="6"/>
      <c r="D353" s="6"/>
    </row>
    <row r="354">
      <c r="A354" s="6"/>
      <c r="D354" s="6"/>
    </row>
    <row r="355">
      <c r="A355" s="6"/>
      <c r="D355" s="6"/>
    </row>
    <row r="356">
      <c r="A356" s="6"/>
      <c r="D356" s="6"/>
    </row>
    <row r="357">
      <c r="A357" s="6"/>
      <c r="D357" s="6"/>
    </row>
    <row r="358">
      <c r="A358" s="6"/>
      <c r="D358" s="6"/>
    </row>
    <row r="359">
      <c r="A359" s="6"/>
      <c r="D359" s="6"/>
    </row>
    <row r="360">
      <c r="A360" s="6"/>
      <c r="D360" s="6"/>
    </row>
    <row r="361">
      <c r="A361" s="6"/>
      <c r="D361" s="6"/>
    </row>
    <row r="362">
      <c r="A362" s="6"/>
      <c r="D362" s="6"/>
    </row>
    <row r="363">
      <c r="A363" s="6"/>
      <c r="D363" s="6"/>
    </row>
    <row r="364">
      <c r="A364" s="6"/>
      <c r="D364" s="6"/>
    </row>
    <row r="365">
      <c r="A365" s="6"/>
      <c r="D365" s="6"/>
    </row>
    <row r="366">
      <c r="A366" s="6"/>
      <c r="D366" s="6"/>
    </row>
    <row r="367">
      <c r="A367" s="6"/>
      <c r="D367" s="6"/>
    </row>
    <row r="368">
      <c r="A368" s="6"/>
      <c r="D368" s="6"/>
    </row>
    <row r="369">
      <c r="A369" s="6"/>
      <c r="D369" s="6"/>
    </row>
    <row r="370">
      <c r="A370" s="6"/>
      <c r="D370" s="6"/>
    </row>
    <row r="371">
      <c r="A371" s="6"/>
      <c r="D371" s="6"/>
    </row>
    <row r="372">
      <c r="A372" s="6"/>
      <c r="D372" s="6"/>
    </row>
    <row r="373">
      <c r="A373" s="6"/>
      <c r="D373" s="6"/>
    </row>
    <row r="374">
      <c r="A374" s="6"/>
      <c r="D374" s="6"/>
    </row>
    <row r="375">
      <c r="A375" s="6"/>
      <c r="D375" s="6"/>
    </row>
    <row r="376">
      <c r="A376" s="6"/>
      <c r="D376" s="6"/>
    </row>
    <row r="377">
      <c r="A377" s="6"/>
      <c r="D377" s="6"/>
    </row>
    <row r="378">
      <c r="A378" s="6"/>
      <c r="D378" s="6"/>
    </row>
    <row r="379">
      <c r="A379" s="6"/>
      <c r="D379" s="6"/>
    </row>
    <row r="380">
      <c r="A380" s="6"/>
      <c r="D380" s="6"/>
    </row>
    <row r="381">
      <c r="A381" s="6"/>
      <c r="D381" s="6"/>
    </row>
    <row r="382">
      <c r="A382" s="6"/>
      <c r="D382" s="6"/>
    </row>
    <row r="383">
      <c r="A383" s="6"/>
      <c r="D383" s="6"/>
    </row>
    <row r="384">
      <c r="A384" s="6"/>
      <c r="D384" s="6"/>
    </row>
    <row r="385">
      <c r="A385" s="6"/>
      <c r="D385" s="6"/>
    </row>
    <row r="386">
      <c r="A386" s="6"/>
      <c r="D386" s="6"/>
    </row>
    <row r="387">
      <c r="A387" s="6"/>
      <c r="D387" s="6"/>
    </row>
    <row r="388">
      <c r="A388" s="6"/>
      <c r="D388" s="6"/>
    </row>
    <row r="389">
      <c r="A389" s="6"/>
      <c r="D389" s="6"/>
    </row>
    <row r="390">
      <c r="A390" s="6"/>
      <c r="D390" s="6"/>
    </row>
    <row r="391">
      <c r="A391" s="6"/>
      <c r="D391" s="6"/>
    </row>
    <row r="392">
      <c r="A392" s="6"/>
      <c r="D392" s="6"/>
    </row>
    <row r="393">
      <c r="A393" s="6"/>
      <c r="D393" s="6"/>
    </row>
    <row r="394">
      <c r="A394" s="6"/>
      <c r="D394" s="6"/>
    </row>
    <row r="395">
      <c r="A395" s="6"/>
      <c r="D395" s="6"/>
    </row>
    <row r="396">
      <c r="A396" s="6"/>
      <c r="D396" s="6"/>
    </row>
    <row r="397">
      <c r="A397" s="6"/>
      <c r="D397" s="6"/>
    </row>
    <row r="398">
      <c r="A398" s="6"/>
      <c r="D398" s="6"/>
    </row>
    <row r="399">
      <c r="A399" s="6"/>
      <c r="D399" s="6"/>
    </row>
    <row r="400">
      <c r="A400" s="6"/>
      <c r="D400" s="6"/>
    </row>
    <row r="401">
      <c r="A401" s="6"/>
      <c r="D401" s="6"/>
    </row>
    <row r="402">
      <c r="A402" s="6"/>
      <c r="D402" s="6"/>
    </row>
    <row r="403">
      <c r="A403" s="6"/>
      <c r="D403" s="6"/>
    </row>
    <row r="404">
      <c r="A404" s="6"/>
      <c r="D404" s="6"/>
    </row>
    <row r="405">
      <c r="A405" s="6"/>
      <c r="D405" s="6"/>
    </row>
    <row r="406">
      <c r="A406" s="6"/>
      <c r="D406" s="6"/>
    </row>
    <row r="407">
      <c r="A407" s="6"/>
      <c r="D407" s="6"/>
    </row>
    <row r="408">
      <c r="A408" s="6"/>
      <c r="D408" s="6"/>
    </row>
    <row r="409">
      <c r="A409" s="6"/>
      <c r="D409" s="6"/>
    </row>
    <row r="410">
      <c r="A410" s="6"/>
      <c r="D410" s="6"/>
    </row>
    <row r="411">
      <c r="A411" s="6"/>
      <c r="D411" s="6"/>
    </row>
    <row r="412">
      <c r="A412" s="6"/>
      <c r="D412" s="6"/>
    </row>
    <row r="413">
      <c r="A413" s="6"/>
      <c r="D413" s="6"/>
    </row>
    <row r="414">
      <c r="A414" s="6"/>
      <c r="D414" s="6"/>
    </row>
    <row r="415">
      <c r="A415" s="6"/>
      <c r="D415" s="6"/>
    </row>
    <row r="416">
      <c r="A416" s="6"/>
      <c r="D416" s="6"/>
    </row>
    <row r="417">
      <c r="A417" s="6"/>
      <c r="D417" s="6"/>
    </row>
    <row r="418">
      <c r="A418" s="6"/>
      <c r="D418" s="6"/>
    </row>
    <row r="419">
      <c r="A419" s="6"/>
      <c r="D419" s="6"/>
    </row>
    <row r="420">
      <c r="A420" s="6"/>
      <c r="D420" s="6"/>
    </row>
    <row r="421">
      <c r="A421" s="6"/>
      <c r="D421" s="6"/>
    </row>
    <row r="422">
      <c r="A422" s="6"/>
      <c r="D422" s="6"/>
    </row>
    <row r="423">
      <c r="A423" s="6"/>
      <c r="D423" s="6"/>
    </row>
    <row r="424">
      <c r="A424" s="6"/>
      <c r="D424" s="6"/>
    </row>
    <row r="425">
      <c r="A425" s="6"/>
      <c r="D425" s="6"/>
    </row>
    <row r="426">
      <c r="A426" s="6"/>
      <c r="D426" s="6"/>
    </row>
    <row r="427">
      <c r="A427" s="6"/>
      <c r="D427" s="6"/>
    </row>
    <row r="428">
      <c r="A428" s="6"/>
      <c r="D428" s="6"/>
    </row>
    <row r="429">
      <c r="A429" s="6"/>
      <c r="D429" s="6"/>
    </row>
    <row r="430">
      <c r="A430" s="6"/>
      <c r="D430" s="6"/>
    </row>
    <row r="431">
      <c r="A431" s="6"/>
      <c r="D431" s="6"/>
    </row>
    <row r="432">
      <c r="A432" s="6"/>
      <c r="D432" s="6"/>
    </row>
    <row r="433">
      <c r="A433" s="6"/>
      <c r="D433" s="6"/>
    </row>
    <row r="434">
      <c r="A434" s="6"/>
      <c r="D434" s="6"/>
    </row>
    <row r="435">
      <c r="A435" s="6"/>
      <c r="D435" s="6"/>
    </row>
    <row r="436">
      <c r="A436" s="6"/>
      <c r="D436" s="6"/>
    </row>
    <row r="437">
      <c r="A437" s="6"/>
      <c r="D437" s="6"/>
    </row>
    <row r="438">
      <c r="A438" s="6"/>
      <c r="D438" s="6"/>
    </row>
    <row r="439">
      <c r="A439" s="6"/>
      <c r="D439" s="6"/>
    </row>
    <row r="440">
      <c r="A440" s="6"/>
      <c r="D440" s="6"/>
    </row>
    <row r="441">
      <c r="A441" s="6"/>
      <c r="D441" s="6"/>
    </row>
    <row r="442">
      <c r="A442" s="6"/>
      <c r="D442" s="6"/>
    </row>
    <row r="443">
      <c r="A443" s="6"/>
      <c r="D443" s="6"/>
    </row>
    <row r="444">
      <c r="A444" s="6"/>
      <c r="D444" s="6"/>
    </row>
    <row r="445">
      <c r="A445" s="6"/>
      <c r="D445" s="6"/>
    </row>
    <row r="446">
      <c r="A446" s="6"/>
      <c r="D446" s="6"/>
    </row>
    <row r="447">
      <c r="A447" s="6"/>
      <c r="D447" s="6"/>
    </row>
    <row r="448">
      <c r="A448" s="6"/>
      <c r="D448" s="6"/>
    </row>
    <row r="449">
      <c r="A449" s="6"/>
      <c r="D449" s="6"/>
    </row>
    <row r="450">
      <c r="A450" s="6"/>
      <c r="D450" s="6"/>
    </row>
    <row r="451">
      <c r="A451" s="6"/>
      <c r="D451" s="6"/>
    </row>
    <row r="452">
      <c r="A452" s="6"/>
      <c r="D452" s="6"/>
    </row>
    <row r="453">
      <c r="A453" s="6"/>
      <c r="D453" s="6"/>
    </row>
    <row r="454">
      <c r="A454" s="6"/>
      <c r="D454" s="6"/>
    </row>
    <row r="455">
      <c r="A455" s="6"/>
      <c r="D455" s="6"/>
    </row>
    <row r="456">
      <c r="A456" s="6"/>
      <c r="D456" s="6"/>
    </row>
    <row r="457">
      <c r="A457" s="6"/>
      <c r="D457" s="6"/>
    </row>
    <row r="458">
      <c r="A458" s="6"/>
      <c r="D458" s="6"/>
    </row>
    <row r="459">
      <c r="A459" s="6"/>
      <c r="D459" s="6"/>
    </row>
    <row r="460">
      <c r="A460" s="6"/>
      <c r="D460" s="6"/>
    </row>
    <row r="461">
      <c r="A461" s="6"/>
      <c r="D461" s="6"/>
    </row>
    <row r="462">
      <c r="A462" s="6"/>
      <c r="D462" s="6"/>
    </row>
    <row r="463">
      <c r="A463" s="6"/>
      <c r="D463" s="6"/>
    </row>
    <row r="464">
      <c r="A464" s="6"/>
      <c r="D464" s="6"/>
    </row>
    <row r="465">
      <c r="A465" s="6"/>
      <c r="D465" s="6"/>
    </row>
    <row r="466">
      <c r="A466" s="6"/>
      <c r="D466" s="6"/>
    </row>
    <row r="467">
      <c r="A467" s="6"/>
      <c r="D467" s="6"/>
    </row>
    <row r="468">
      <c r="A468" s="6"/>
      <c r="D468" s="6"/>
    </row>
    <row r="469">
      <c r="A469" s="6"/>
      <c r="D469" s="6"/>
    </row>
    <row r="470">
      <c r="A470" s="6"/>
      <c r="D470" s="6"/>
    </row>
    <row r="471">
      <c r="A471" s="6"/>
      <c r="D471" s="6"/>
    </row>
    <row r="472">
      <c r="A472" s="6"/>
      <c r="D472" s="6"/>
    </row>
    <row r="473">
      <c r="A473" s="6"/>
      <c r="D473" s="6"/>
    </row>
    <row r="474">
      <c r="A474" s="6"/>
      <c r="D474" s="6"/>
    </row>
    <row r="475">
      <c r="A475" s="6"/>
      <c r="D475" s="6"/>
    </row>
    <row r="476">
      <c r="A476" s="6"/>
      <c r="D476" s="6"/>
    </row>
    <row r="477">
      <c r="A477" s="6"/>
      <c r="D477" s="6"/>
    </row>
    <row r="478">
      <c r="A478" s="6"/>
      <c r="D478" s="6"/>
    </row>
    <row r="479">
      <c r="A479" s="6"/>
      <c r="D479" s="6"/>
    </row>
    <row r="480">
      <c r="A480" s="6"/>
      <c r="D480" s="6"/>
    </row>
    <row r="481">
      <c r="A481" s="6"/>
      <c r="D481" s="6"/>
    </row>
    <row r="482">
      <c r="A482" s="6"/>
      <c r="D482" s="6"/>
    </row>
    <row r="483">
      <c r="A483" s="6"/>
      <c r="D483" s="6"/>
    </row>
    <row r="484">
      <c r="A484" s="6"/>
      <c r="D484" s="6"/>
    </row>
    <row r="485">
      <c r="A485" s="6"/>
      <c r="D485" s="6"/>
    </row>
    <row r="486">
      <c r="A486" s="6"/>
      <c r="D486" s="6"/>
    </row>
    <row r="487">
      <c r="A487" s="6"/>
      <c r="D487" s="6"/>
    </row>
    <row r="488">
      <c r="A488" s="6"/>
      <c r="D488" s="6"/>
    </row>
    <row r="489">
      <c r="A489" s="6"/>
      <c r="D489" s="6"/>
    </row>
    <row r="490">
      <c r="A490" s="6"/>
      <c r="D490" s="6"/>
    </row>
    <row r="491">
      <c r="A491" s="6"/>
      <c r="D491" s="6"/>
    </row>
    <row r="492">
      <c r="A492" s="6"/>
      <c r="D492" s="6"/>
    </row>
    <row r="493">
      <c r="A493" s="6"/>
      <c r="D493" s="6"/>
    </row>
    <row r="494">
      <c r="A494" s="6"/>
      <c r="D494" s="6"/>
    </row>
    <row r="495">
      <c r="A495" s="6"/>
      <c r="D495" s="6"/>
    </row>
    <row r="496">
      <c r="A496" s="6"/>
      <c r="D496" s="6"/>
    </row>
    <row r="497">
      <c r="A497" s="6"/>
      <c r="D497" s="6"/>
    </row>
    <row r="498">
      <c r="A498" s="6"/>
      <c r="D498" s="6"/>
    </row>
    <row r="499">
      <c r="A499" s="6"/>
      <c r="D499" s="6"/>
    </row>
    <row r="500">
      <c r="A500" s="6"/>
      <c r="D500" s="6"/>
    </row>
    <row r="501">
      <c r="A501" s="6"/>
      <c r="D501" s="6"/>
    </row>
    <row r="502">
      <c r="A502" s="6"/>
      <c r="D502" s="6"/>
    </row>
    <row r="503">
      <c r="A503" s="6"/>
      <c r="D503" s="6"/>
    </row>
    <row r="504">
      <c r="A504" s="6"/>
      <c r="D504" s="6"/>
    </row>
    <row r="505">
      <c r="A505" s="6"/>
      <c r="D505" s="6"/>
    </row>
    <row r="506">
      <c r="A506" s="6"/>
      <c r="D506" s="6"/>
    </row>
    <row r="507">
      <c r="A507" s="6"/>
      <c r="D507" s="6"/>
    </row>
    <row r="508">
      <c r="A508" s="6"/>
      <c r="D508" s="6"/>
    </row>
    <row r="509">
      <c r="A509" s="6"/>
      <c r="D509" s="6"/>
    </row>
    <row r="510">
      <c r="A510" s="6"/>
      <c r="D510" s="6"/>
    </row>
    <row r="511">
      <c r="A511" s="6"/>
      <c r="D511" s="6"/>
    </row>
    <row r="512">
      <c r="A512" s="6"/>
      <c r="D512" s="6"/>
    </row>
    <row r="513">
      <c r="A513" s="6"/>
      <c r="D513" s="6"/>
    </row>
    <row r="514">
      <c r="A514" s="6"/>
      <c r="D514" s="6"/>
    </row>
    <row r="515">
      <c r="A515" s="6"/>
      <c r="D515" s="6"/>
    </row>
    <row r="516">
      <c r="A516" s="6"/>
      <c r="D516" s="6"/>
    </row>
    <row r="517">
      <c r="A517" s="6"/>
      <c r="D517" s="6"/>
    </row>
    <row r="518">
      <c r="A518" s="6"/>
      <c r="D518" s="6"/>
    </row>
    <row r="519">
      <c r="A519" s="6"/>
      <c r="D519" s="6"/>
    </row>
    <row r="520">
      <c r="A520" s="6"/>
      <c r="D520" s="6"/>
    </row>
    <row r="521">
      <c r="A521" s="6"/>
      <c r="D521" s="6"/>
    </row>
    <row r="522">
      <c r="A522" s="6"/>
      <c r="D522" s="6"/>
    </row>
    <row r="523">
      <c r="A523" s="6"/>
      <c r="D523" s="6"/>
    </row>
    <row r="524">
      <c r="A524" s="6"/>
      <c r="D524" s="6"/>
    </row>
    <row r="525">
      <c r="A525" s="6"/>
      <c r="D525" s="6"/>
    </row>
    <row r="526">
      <c r="A526" s="6"/>
      <c r="D526" s="6"/>
    </row>
    <row r="527">
      <c r="A527" s="6"/>
      <c r="D527" s="6"/>
    </row>
    <row r="528">
      <c r="A528" s="6"/>
      <c r="D528" s="6"/>
    </row>
    <row r="529">
      <c r="A529" s="6"/>
      <c r="D529" s="6"/>
    </row>
    <row r="530">
      <c r="A530" s="6"/>
      <c r="D530" s="6"/>
    </row>
    <row r="531">
      <c r="A531" s="6"/>
      <c r="D531" s="6"/>
    </row>
    <row r="532">
      <c r="A532" s="6"/>
      <c r="D532" s="6"/>
    </row>
    <row r="533">
      <c r="A533" s="6"/>
      <c r="D533" s="6"/>
    </row>
    <row r="534">
      <c r="A534" s="6"/>
      <c r="D534" s="6"/>
    </row>
    <row r="535">
      <c r="A535" s="6"/>
      <c r="D535" s="6"/>
    </row>
    <row r="536">
      <c r="A536" s="6"/>
      <c r="D536" s="6"/>
    </row>
    <row r="537">
      <c r="A537" s="6"/>
      <c r="D537" s="6"/>
    </row>
    <row r="538">
      <c r="A538" s="6"/>
      <c r="D538" s="6"/>
    </row>
    <row r="539">
      <c r="A539" s="6"/>
      <c r="D539" s="6"/>
    </row>
    <row r="540">
      <c r="A540" s="6"/>
      <c r="D540" s="6"/>
    </row>
    <row r="541">
      <c r="A541" s="6"/>
      <c r="D541" s="6"/>
    </row>
    <row r="542">
      <c r="A542" s="6"/>
      <c r="D542" s="6"/>
    </row>
    <row r="543">
      <c r="A543" s="6"/>
      <c r="D543" s="6"/>
    </row>
    <row r="544">
      <c r="A544" s="6"/>
      <c r="D544" s="6"/>
    </row>
    <row r="545">
      <c r="A545" s="6"/>
      <c r="D545" s="6"/>
    </row>
    <row r="546">
      <c r="A546" s="6"/>
      <c r="D546" s="6"/>
    </row>
    <row r="547">
      <c r="A547" s="6"/>
      <c r="D547" s="6"/>
    </row>
    <row r="548">
      <c r="A548" s="6"/>
      <c r="D548" s="6"/>
    </row>
    <row r="549">
      <c r="A549" s="6"/>
      <c r="D549" s="6"/>
    </row>
    <row r="550">
      <c r="A550" s="6"/>
      <c r="D550" s="6"/>
    </row>
    <row r="551">
      <c r="A551" s="6"/>
      <c r="D551" s="6"/>
    </row>
    <row r="552">
      <c r="A552" s="6"/>
      <c r="D552" s="6"/>
    </row>
    <row r="553">
      <c r="A553" s="6"/>
      <c r="D553" s="6"/>
    </row>
    <row r="554">
      <c r="A554" s="6"/>
      <c r="D554" s="6"/>
    </row>
    <row r="555">
      <c r="A555" s="6"/>
      <c r="D555" s="6"/>
    </row>
    <row r="556">
      <c r="A556" s="6"/>
      <c r="D556" s="6"/>
    </row>
    <row r="557">
      <c r="A557" s="6"/>
      <c r="D557" s="6"/>
    </row>
    <row r="558">
      <c r="A558" s="6"/>
      <c r="D558" s="6"/>
    </row>
    <row r="559">
      <c r="A559" s="6"/>
      <c r="D559" s="6"/>
    </row>
    <row r="560">
      <c r="A560" s="6"/>
      <c r="D560" s="6"/>
    </row>
    <row r="561">
      <c r="A561" s="6"/>
      <c r="D561" s="6"/>
    </row>
    <row r="562">
      <c r="A562" s="6"/>
      <c r="D562" s="6"/>
    </row>
    <row r="563">
      <c r="A563" s="6"/>
      <c r="D563" s="6"/>
    </row>
    <row r="564">
      <c r="A564" s="6"/>
      <c r="D564" s="6"/>
    </row>
    <row r="565">
      <c r="A565" s="6"/>
      <c r="D565" s="6"/>
    </row>
    <row r="566">
      <c r="A566" s="6"/>
      <c r="D566" s="6"/>
    </row>
    <row r="567">
      <c r="A567" s="6"/>
      <c r="D567" s="6"/>
    </row>
    <row r="568">
      <c r="A568" s="6"/>
      <c r="D568" s="6"/>
    </row>
    <row r="569">
      <c r="A569" s="6"/>
      <c r="D569" s="6"/>
    </row>
    <row r="570">
      <c r="A570" s="6"/>
      <c r="D570" s="6"/>
    </row>
    <row r="571">
      <c r="A571" s="6"/>
      <c r="D571" s="6"/>
    </row>
    <row r="572">
      <c r="A572" s="6"/>
      <c r="D572" s="6"/>
    </row>
    <row r="573">
      <c r="A573" s="6"/>
      <c r="D573" s="6"/>
    </row>
    <row r="574">
      <c r="A574" s="6"/>
      <c r="D574" s="6"/>
    </row>
    <row r="575">
      <c r="A575" s="6"/>
      <c r="D575" s="6"/>
    </row>
    <row r="576">
      <c r="A576" s="6"/>
      <c r="D576" s="6"/>
    </row>
    <row r="577">
      <c r="A577" s="6"/>
      <c r="D577" s="6"/>
    </row>
    <row r="578">
      <c r="A578" s="6"/>
      <c r="D578" s="6"/>
    </row>
    <row r="579">
      <c r="A579" s="6"/>
      <c r="D579" s="6"/>
    </row>
    <row r="580">
      <c r="A580" s="6"/>
      <c r="D580" s="6"/>
    </row>
    <row r="581">
      <c r="A581" s="6"/>
      <c r="D581" s="6"/>
    </row>
    <row r="582">
      <c r="A582" s="6"/>
      <c r="D582" s="6"/>
    </row>
    <row r="583">
      <c r="A583" s="6"/>
      <c r="D583" s="6"/>
    </row>
    <row r="584">
      <c r="A584" s="6"/>
      <c r="D584" s="6"/>
    </row>
    <row r="585">
      <c r="A585" s="6"/>
      <c r="D585" s="6"/>
    </row>
    <row r="586">
      <c r="A586" s="6"/>
      <c r="D586" s="6"/>
    </row>
    <row r="587">
      <c r="A587" s="6"/>
      <c r="D587" s="6"/>
    </row>
    <row r="588">
      <c r="A588" s="6"/>
      <c r="D588" s="6"/>
    </row>
    <row r="589">
      <c r="A589" s="6"/>
      <c r="D589" s="6"/>
    </row>
    <row r="590">
      <c r="A590" s="6"/>
      <c r="D590" s="6"/>
    </row>
    <row r="591">
      <c r="A591" s="6"/>
      <c r="D591" s="6"/>
    </row>
    <row r="592">
      <c r="A592" s="6"/>
      <c r="D592" s="6"/>
    </row>
    <row r="593">
      <c r="A593" s="6"/>
      <c r="D593" s="6"/>
    </row>
    <row r="594">
      <c r="A594" s="6"/>
      <c r="D594" s="6"/>
    </row>
    <row r="595">
      <c r="A595" s="6"/>
      <c r="D595" s="6"/>
    </row>
    <row r="596">
      <c r="A596" s="6"/>
      <c r="D596" s="6"/>
    </row>
    <row r="597">
      <c r="A597" s="6"/>
      <c r="D597" s="6"/>
    </row>
    <row r="598">
      <c r="A598" s="6"/>
      <c r="D598" s="6"/>
    </row>
    <row r="599">
      <c r="A599" s="6"/>
      <c r="D599" s="6"/>
    </row>
    <row r="600">
      <c r="A600" s="6"/>
      <c r="D600" s="6"/>
    </row>
    <row r="601">
      <c r="A601" s="6"/>
      <c r="D601" s="6"/>
    </row>
    <row r="602">
      <c r="A602" s="6"/>
      <c r="D602" s="6"/>
    </row>
    <row r="603">
      <c r="A603" s="6"/>
      <c r="D603" s="6"/>
    </row>
    <row r="604">
      <c r="A604" s="6"/>
      <c r="D604" s="6"/>
    </row>
    <row r="605">
      <c r="A605" s="6"/>
      <c r="D605" s="6"/>
    </row>
    <row r="606">
      <c r="A606" s="6"/>
      <c r="D606" s="6"/>
    </row>
    <row r="607">
      <c r="A607" s="6"/>
      <c r="D607" s="6"/>
    </row>
    <row r="608">
      <c r="A608" s="6"/>
      <c r="D608" s="6"/>
    </row>
    <row r="609">
      <c r="A609" s="6"/>
      <c r="D609" s="6"/>
    </row>
    <row r="610">
      <c r="A610" s="6"/>
      <c r="D610" s="6"/>
    </row>
    <row r="611">
      <c r="A611" s="6"/>
      <c r="D611" s="6"/>
    </row>
    <row r="612">
      <c r="A612" s="6"/>
      <c r="D612" s="6"/>
    </row>
    <row r="613">
      <c r="A613" s="6"/>
      <c r="D613" s="6"/>
    </row>
    <row r="614">
      <c r="A614" s="6"/>
      <c r="D614" s="6"/>
    </row>
    <row r="615">
      <c r="A615" s="6"/>
      <c r="D615" s="6"/>
    </row>
    <row r="616">
      <c r="A616" s="6"/>
      <c r="D616" s="6"/>
    </row>
    <row r="617">
      <c r="A617" s="6"/>
      <c r="D617" s="6"/>
    </row>
    <row r="618">
      <c r="A618" s="6"/>
      <c r="D618" s="6"/>
    </row>
    <row r="619">
      <c r="A619" s="6"/>
      <c r="D619" s="6"/>
    </row>
    <row r="620">
      <c r="A620" s="6"/>
      <c r="D620" s="6"/>
    </row>
    <row r="621">
      <c r="A621" s="6"/>
      <c r="D621" s="6"/>
    </row>
    <row r="622">
      <c r="A622" s="6"/>
      <c r="D622" s="6"/>
    </row>
    <row r="623">
      <c r="A623" s="6"/>
      <c r="D623" s="6"/>
    </row>
    <row r="624">
      <c r="A624" s="6"/>
      <c r="D624" s="6"/>
    </row>
    <row r="625">
      <c r="A625" s="6"/>
      <c r="D625" s="6"/>
    </row>
    <row r="626">
      <c r="A626" s="6"/>
      <c r="D626" s="6"/>
    </row>
    <row r="627">
      <c r="A627" s="6"/>
      <c r="D627" s="6"/>
    </row>
    <row r="628">
      <c r="A628" s="6"/>
      <c r="D628" s="6"/>
    </row>
    <row r="629">
      <c r="A629" s="6"/>
      <c r="D629" s="6"/>
    </row>
    <row r="630">
      <c r="A630" s="6"/>
      <c r="D630" s="6"/>
    </row>
    <row r="631">
      <c r="A631" s="6"/>
      <c r="D631" s="6"/>
    </row>
    <row r="632">
      <c r="A632" s="6"/>
      <c r="D632" s="6"/>
    </row>
    <row r="633">
      <c r="A633" s="6"/>
      <c r="D633" s="6"/>
    </row>
    <row r="634">
      <c r="A634" s="6"/>
      <c r="D634" s="6"/>
    </row>
    <row r="635">
      <c r="A635" s="6"/>
      <c r="D635" s="6"/>
    </row>
    <row r="636">
      <c r="A636" s="6"/>
      <c r="D636" s="6"/>
    </row>
    <row r="637">
      <c r="A637" s="6"/>
      <c r="D637" s="6"/>
    </row>
    <row r="638">
      <c r="A638" s="6"/>
      <c r="D638" s="6"/>
    </row>
    <row r="639">
      <c r="A639" s="6"/>
      <c r="D639" s="6"/>
    </row>
    <row r="640">
      <c r="A640" s="6"/>
      <c r="D640" s="6"/>
    </row>
    <row r="641">
      <c r="A641" s="6"/>
      <c r="D641" s="6"/>
    </row>
    <row r="642">
      <c r="A642" s="6"/>
      <c r="D642" s="6"/>
    </row>
    <row r="643">
      <c r="A643" s="6"/>
      <c r="D643" s="6"/>
    </row>
    <row r="644">
      <c r="A644" s="6"/>
      <c r="D644" s="6"/>
    </row>
    <row r="645">
      <c r="A645" s="6"/>
      <c r="D645" s="6"/>
    </row>
    <row r="646">
      <c r="A646" s="6"/>
      <c r="D646" s="6"/>
    </row>
    <row r="647">
      <c r="A647" s="6"/>
      <c r="D647" s="6"/>
    </row>
    <row r="648">
      <c r="A648" s="6"/>
      <c r="D648" s="6"/>
    </row>
    <row r="649">
      <c r="A649" s="6"/>
      <c r="D649" s="6"/>
    </row>
    <row r="650">
      <c r="A650" s="6"/>
      <c r="D650" s="6"/>
    </row>
    <row r="651">
      <c r="A651" s="6"/>
      <c r="D651" s="6"/>
    </row>
    <row r="652">
      <c r="A652" s="6"/>
      <c r="D652" s="6"/>
    </row>
    <row r="653">
      <c r="A653" s="6"/>
      <c r="D653" s="6"/>
    </row>
    <row r="654">
      <c r="A654" s="6"/>
      <c r="D654" s="6"/>
    </row>
    <row r="655">
      <c r="A655" s="6"/>
      <c r="D655" s="6"/>
    </row>
    <row r="656">
      <c r="A656" s="6"/>
      <c r="D656" s="6"/>
    </row>
    <row r="657">
      <c r="A657" s="6"/>
      <c r="D657" s="6"/>
    </row>
    <row r="658">
      <c r="A658" s="6"/>
      <c r="D658" s="6"/>
    </row>
    <row r="659">
      <c r="A659" s="6"/>
      <c r="D659" s="6"/>
    </row>
    <row r="660">
      <c r="A660" s="6"/>
      <c r="D660" s="6"/>
    </row>
    <row r="661">
      <c r="A661" s="6"/>
      <c r="D661" s="6"/>
    </row>
    <row r="662">
      <c r="A662" s="6"/>
      <c r="D662" s="6"/>
    </row>
    <row r="663">
      <c r="A663" s="6"/>
      <c r="D663" s="6"/>
    </row>
    <row r="664">
      <c r="A664" s="6"/>
      <c r="D664" s="6"/>
    </row>
    <row r="665">
      <c r="A665" s="6"/>
      <c r="D665" s="6"/>
    </row>
    <row r="666">
      <c r="A666" s="6"/>
      <c r="D666" s="6"/>
    </row>
    <row r="667">
      <c r="A667" s="6"/>
      <c r="D667" s="6"/>
    </row>
    <row r="668">
      <c r="A668" s="6"/>
      <c r="D668" s="6"/>
    </row>
    <row r="669">
      <c r="A669" s="6"/>
      <c r="D669" s="6"/>
    </row>
    <row r="670">
      <c r="A670" s="6"/>
      <c r="D670" s="6"/>
    </row>
    <row r="671">
      <c r="A671" s="6"/>
      <c r="D671" s="6"/>
    </row>
    <row r="672">
      <c r="A672" s="6"/>
      <c r="D672" s="6"/>
    </row>
    <row r="673">
      <c r="A673" s="6"/>
      <c r="D673" s="6"/>
    </row>
    <row r="674">
      <c r="A674" s="6"/>
      <c r="D674" s="6"/>
    </row>
    <row r="675">
      <c r="A675" s="6"/>
      <c r="D675" s="6"/>
    </row>
    <row r="676">
      <c r="A676" s="6"/>
      <c r="D676" s="6"/>
    </row>
    <row r="677">
      <c r="A677" s="6"/>
      <c r="D677" s="6"/>
    </row>
    <row r="678">
      <c r="A678" s="6"/>
      <c r="D678" s="6"/>
    </row>
    <row r="679">
      <c r="A679" s="6"/>
      <c r="D679" s="6"/>
    </row>
    <row r="680">
      <c r="A680" s="6"/>
      <c r="D680" s="6"/>
    </row>
    <row r="681">
      <c r="A681" s="6"/>
      <c r="D681" s="6"/>
    </row>
    <row r="682">
      <c r="A682" s="6"/>
      <c r="D682" s="6"/>
    </row>
    <row r="683">
      <c r="A683" s="6"/>
      <c r="D683" s="6"/>
    </row>
    <row r="684">
      <c r="A684" s="6"/>
      <c r="D684" s="6"/>
    </row>
    <row r="685">
      <c r="A685" s="6"/>
      <c r="D685" s="6"/>
    </row>
    <row r="686">
      <c r="A686" s="6"/>
      <c r="D686" s="6"/>
    </row>
    <row r="687">
      <c r="A687" s="6"/>
      <c r="D687" s="6"/>
    </row>
    <row r="688">
      <c r="A688" s="6"/>
      <c r="D688" s="6"/>
    </row>
    <row r="689">
      <c r="A689" s="6"/>
      <c r="D689" s="6"/>
    </row>
    <row r="690">
      <c r="A690" s="6"/>
      <c r="D690" s="6"/>
    </row>
    <row r="691">
      <c r="A691" s="6"/>
      <c r="D691" s="6"/>
    </row>
    <row r="692">
      <c r="A692" s="6"/>
      <c r="D692" s="6"/>
    </row>
    <row r="693">
      <c r="A693" s="6"/>
      <c r="D693" s="6"/>
    </row>
    <row r="694">
      <c r="A694" s="6"/>
      <c r="D694" s="6"/>
    </row>
    <row r="695">
      <c r="A695" s="6"/>
      <c r="D695" s="6"/>
    </row>
    <row r="696">
      <c r="A696" s="6"/>
      <c r="D696" s="6"/>
    </row>
    <row r="697">
      <c r="A697" s="6"/>
      <c r="D697" s="6"/>
    </row>
    <row r="698">
      <c r="A698" s="6"/>
      <c r="D698" s="6"/>
    </row>
    <row r="699">
      <c r="A699" s="6"/>
      <c r="D699" s="6"/>
    </row>
    <row r="700">
      <c r="A700" s="6"/>
      <c r="D700" s="6"/>
    </row>
    <row r="701">
      <c r="A701" s="6"/>
      <c r="D701" s="6"/>
    </row>
    <row r="702">
      <c r="A702" s="6"/>
      <c r="D702" s="6"/>
    </row>
    <row r="703">
      <c r="A703" s="6"/>
      <c r="D703" s="6"/>
    </row>
    <row r="704">
      <c r="A704" s="6"/>
      <c r="D704" s="6"/>
    </row>
    <row r="705">
      <c r="A705" s="6"/>
      <c r="D705" s="6"/>
    </row>
    <row r="706">
      <c r="A706" s="6"/>
      <c r="D706" s="6"/>
    </row>
    <row r="707">
      <c r="A707" s="6"/>
      <c r="D707" s="6"/>
    </row>
    <row r="708">
      <c r="A708" s="6"/>
      <c r="D708" s="6"/>
    </row>
    <row r="709">
      <c r="A709" s="6"/>
      <c r="D709" s="6"/>
    </row>
    <row r="710">
      <c r="A710" s="6"/>
      <c r="D710" s="6"/>
    </row>
    <row r="711">
      <c r="A711" s="6"/>
      <c r="D711" s="6"/>
    </row>
    <row r="712">
      <c r="A712" s="6"/>
      <c r="D712" s="6"/>
    </row>
    <row r="713">
      <c r="A713" s="6"/>
      <c r="D713" s="6"/>
    </row>
    <row r="714">
      <c r="A714" s="6"/>
      <c r="D714" s="6"/>
    </row>
    <row r="715">
      <c r="A715" s="6"/>
      <c r="D715" s="6"/>
    </row>
    <row r="716">
      <c r="A716" s="6"/>
      <c r="D716" s="6"/>
    </row>
    <row r="717">
      <c r="A717" s="6"/>
      <c r="D717" s="6"/>
    </row>
    <row r="718">
      <c r="A718" s="6"/>
      <c r="D718" s="6"/>
    </row>
    <row r="719">
      <c r="A719" s="6"/>
      <c r="D719" s="6"/>
    </row>
    <row r="720">
      <c r="A720" s="6"/>
      <c r="D720" s="6"/>
    </row>
    <row r="721">
      <c r="A721" s="6"/>
      <c r="D721" s="6"/>
    </row>
    <row r="722">
      <c r="A722" s="6"/>
      <c r="D722" s="6"/>
    </row>
    <row r="723">
      <c r="A723" s="6"/>
      <c r="D723" s="6"/>
    </row>
    <row r="724">
      <c r="A724" s="6"/>
      <c r="D724" s="6"/>
    </row>
    <row r="725">
      <c r="A725" s="6"/>
      <c r="D725" s="6"/>
    </row>
    <row r="726">
      <c r="A726" s="6"/>
      <c r="D726" s="6"/>
    </row>
    <row r="727">
      <c r="A727" s="6"/>
      <c r="D727" s="6"/>
    </row>
    <row r="728">
      <c r="A728" s="6"/>
      <c r="D728" s="6"/>
    </row>
    <row r="729">
      <c r="A729" s="6"/>
      <c r="D729" s="6"/>
    </row>
    <row r="730">
      <c r="A730" s="6"/>
      <c r="D730" s="6"/>
    </row>
    <row r="731">
      <c r="A731" s="6"/>
      <c r="D731" s="6"/>
    </row>
    <row r="732">
      <c r="A732" s="6"/>
      <c r="D732" s="6"/>
    </row>
    <row r="733">
      <c r="A733" s="6"/>
      <c r="D733" s="6"/>
    </row>
    <row r="734">
      <c r="A734" s="6"/>
      <c r="D734" s="6"/>
    </row>
    <row r="735">
      <c r="A735" s="6"/>
      <c r="D735" s="6"/>
    </row>
    <row r="736">
      <c r="A736" s="6"/>
      <c r="D736" s="6"/>
    </row>
    <row r="737">
      <c r="A737" s="6"/>
      <c r="D737" s="6"/>
    </row>
    <row r="738">
      <c r="A738" s="6"/>
      <c r="D738" s="6"/>
    </row>
    <row r="739">
      <c r="A739" s="6"/>
      <c r="D739" s="6"/>
    </row>
    <row r="740">
      <c r="A740" s="6"/>
      <c r="D740" s="6"/>
    </row>
    <row r="741">
      <c r="A741" s="6"/>
      <c r="D741" s="6"/>
    </row>
    <row r="742">
      <c r="A742" s="6"/>
      <c r="D742" s="6"/>
    </row>
    <row r="743">
      <c r="A743" s="6"/>
      <c r="D743" s="6"/>
    </row>
    <row r="744">
      <c r="A744" s="6"/>
      <c r="D744" s="6"/>
    </row>
    <row r="745">
      <c r="A745" s="6"/>
      <c r="D745" s="6"/>
    </row>
    <row r="746">
      <c r="A746" s="6"/>
      <c r="D746" s="6"/>
    </row>
    <row r="747">
      <c r="A747" s="6"/>
      <c r="D747" s="6"/>
    </row>
    <row r="748">
      <c r="A748" s="6"/>
      <c r="D748" s="6"/>
    </row>
    <row r="749">
      <c r="A749" s="6"/>
      <c r="D749" s="6"/>
    </row>
    <row r="750">
      <c r="A750" s="6"/>
      <c r="D750" s="6"/>
    </row>
    <row r="751">
      <c r="A751" s="6"/>
      <c r="D751" s="6"/>
    </row>
    <row r="752">
      <c r="A752" s="6"/>
      <c r="D752" s="6"/>
    </row>
    <row r="753">
      <c r="A753" s="6"/>
      <c r="D753" s="6"/>
    </row>
    <row r="754">
      <c r="A754" s="6"/>
      <c r="D754" s="6"/>
    </row>
    <row r="755">
      <c r="A755" s="6"/>
      <c r="D755" s="6"/>
    </row>
    <row r="756">
      <c r="A756" s="6"/>
      <c r="D756" s="6"/>
    </row>
    <row r="757">
      <c r="A757" s="6"/>
      <c r="D757" s="6"/>
    </row>
    <row r="758">
      <c r="A758" s="6"/>
      <c r="D758" s="6"/>
    </row>
    <row r="759">
      <c r="A759" s="6"/>
      <c r="D759" s="6"/>
    </row>
    <row r="760">
      <c r="A760" s="6"/>
      <c r="D760" s="6"/>
    </row>
    <row r="761">
      <c r="A761" s="6"/>
      <c r="D761" s="6"/>
    </row>
    <row r="762">
      <c r="A762" s="6"/>
      <c r="D762" s="6"/>
    </row>
    <row r="763">
      <c r="A763" s="6"/>
      <c r="D763" s="6"/>
    </row>
    <row r="764">
      <c r="A764" s="6"/>
      <c r="D764" s="6"/>
    </row>
    <row r="765">
      <c r="A765" s="6"/>
      <c r="D765" s="6"/>
    </row>
    <row r="766">
      <c r="A766" s="6"/>
      <c r="D766" s="6"/>
    </row>
    <row r="767">
      <c r="A767" s="6"/>
      <c r="D767" s="6"/>
    </row>
    <row r="768">
      <c r="A768" s="6"/>
      <c r="D768" s="6"/>
    </row>
    <row r="769">
      <c r="A769" s="6"/>
      <c r="D769" s="6"/>
    </row>
    <row r="770">
      <c r="A770" s="6"/>
      <c r="D770" s="6"/>
    </row>
    <row r="771">
      <c r="A771" s="6"/>
      <c r="D771" s="6"/>
    </row>
    <row r="772">
      <c r="A772" s="6"/>
      <c r="D772" s="6"/>
    </row>
    <row r="773">
      <c r="A773" s="6"/>
      <c r="D773" s="6"/>
    </row>
    <row r="774">
      <c r="A774" s="6"/>
      <c r="D774" s="6"/>
    </row>
    <row r="775">
      <c r="A775" s="6"/>
      <c r="D775" s="6"/>
    </row>
    <row r="776">
      <c r="A776" s="6"/>
      <c r="D776" s="6"/>
    </row>
    <row r="777">
      <c r="A777" s="6"/>
      <c r="D777" s="6"/>
    </row>
    <row r="778">
      <c r="A778" s="6"/>
      <c r="D778" s="6"/>
    </row>
    <row r="779">
      <c r="A779" s="6"/>
      <c r="D779" s="6"/>
    </row>
    <row r="780">
      <c r="A780" s="6"/>
      <c r="D780" s="6"/>
    </row>
    <row r="781">
      <c r="A781" s="6"/>
      <c r="D781" s="6"/>
    </row>
    <row r="782">
      <c r="A782" s="6"/>
      <c r="D782" s="6"/>
    </row>
    <row r="783">
      <c r="A783" s="6"/>
      <c r="D783" s="6"/>
    </row>
    <row r="784">
      <c r="A784" s="6"/>
      <c r="D784" s="6"/>
    </row>
    <row r="785">
      <c r="A785" s="6"/>
      <c r="D785" s="6"/>
    </row>
    <row r="786">
      <c r="A786" s="6"/>
      <c r="D786" s="6"/>
    </row>
    <row r="787">
      <c r="A787" s="6"/>
      <c r="D787" s="6"/>
    </row>
    <row r="788">
      <c r="A788" s="6"/>
      <c r="D788" s="6"/>
    </row>
    <row r="789">
      <c r="A789" s="6"/>
      <c r="D789" s="6"/>
    </row>
    <row r="790">
      <c r="A790" s="6"/>
      <c r="D790" s="6"/>
    </row>
    <row r="791">
      <c r="A791" s="6"/>
      <c r="D791" s="6"/>
    </row>
    <row r="792">
      <c r="A792" s="6"/>
      <c r="D792" s="6"/>
    </row>
    <row r="793">
      <c r="A793" s="6"/>
      <c r="D793" s="6"/>
    </row>
    <row r="794">
      <c r="A794" s="6"/>
      <c r="D794" s="6"/>
    </row>
    <row r="795">
      <c r="A795" s="6"/>
      <c r="D795" s="6"/>
    </row>
    <row r="796">
      <c r="A796" s="6"/>
      <c r="D796" s="6"/>
    </row>
    <row r="797">
      <c r="A797" s="6"/>
      <c r="D797" s="6"/>
    </row>
    <row r="798">
      <c r="A798" s="6"/>
      <c r="D798" s="6"/>
    </row>
    <row r="799">
      <c r="A799" s="6"/>
      <c r="D799" s="6"/>
    </row>
    <row r="800">
      <c r="A800" s="6"/>
      <c r="D800" s="6"/>
    </row>
    <row r="801">
      <c r="A801" s="6"/>
      <c r="D801" s="6"/>
    </row>
    <row r="802">
      <c r="A802" s="6"/>
      <c r="D802" s="6"/>
    </row>
    <row r="803">
      <c r="A803" s="6"/>
      <c r="D803" s="6"/>
    </row>
    <row r="804">
      <c r="A804" s="6"/>
      <c r="D804" s="6"/>
    </row>
    <row r="805">
      <c r="A805" s="6"/>
      <c r="D805" s="6"/>
    </row>
    <row r="806">
      <c r="A806" s="6"/>
      <c r="D806" s="6"/>
    </row>
    <row r="807">
      <c r="A807" s="6"/>
      <c r="D807" s="6"/>
    </row>
    <row r="808">
      <c r="A808" s="6"/>
      <c r="D808" s="6"/>
    </row>
    <row r="809">
      <c r="A809" s="6"/>
      <c r="D809" s="6"/>
    </row>
    <row r="810">
      <c r="A810" s="6"/>
      <c r="D810" s="6"/>
    </row>
    <row r="811">
      <c r="A811" s="6"/>
      <c r="D811" s="6"/>
    </row>
    <row r="812">
      <c r="A812" s="6"/>
      <c r="D812" s="6"/>
    </row>
    <row r="813">
      <c r="A813" s="6"/>
      <c r="D813" s="6"/>
    </row>
    <row r="814">
      <c r="A814" s="6"/>
      <c r="D814" s="6"/>
    </row>
    <row r="815">
      <c r="A815" s="6"/>
      <c r="D815" s="6"/>
    </row>
    <row r="816">
      <c r="A816" s="6"/>
      <c r="D816" s="6"/>
    </row>
    <row r="817">
      <c r="A817" s="6"/>
      <c r="D817" s="6"/>
    </row>
    <row r="818">
      <c r="A818" s="6"/>
      <c r="D818" s="6"/>
    </row>
    <row r="819">
      <c r="A819" s="6"/>
      <c r="D819" s="6"/>
    </row>
    <row r="820">
      <c r="A820" s="6"/>
      <c r="D820" s="6"/>
    </row>
    <row r="821">
      <c r="A821" s="6"/>
      <c r="D821" s="6"/>
    </row>
    <row r="822">
      <c r="A822" s="6"/>
      <c r="D822" s="6"/>
    </row>
    <row r="823">
      <c r="A823" s="6"/>
      <c r="D823" s="6"/>
    </row>
    <row r="824">
      <c r="A824" s="6"/>
      <c r="D824" s="6"/>
    </row>
    <row r="825">
      <c r="A825" s="6"/>
      <c r="D825" s="6"/>
    </row>
    <row r="826">
      <c r="A826" s="6"/>
      <c r="D826" s="6"/>
    </row>
    <row r="827">
      <c r="A827" s="6"/>
      <c r="D827" s="6"/>
    </row>
    <row r="828">
      <c r="A828" s="6"/>
      <c r="D828" s="6"/>
    </row>
    <row r="829">
      <c r="A829" s="6"/>
      <c r="D829" s="6"/>
    </row>
    <row r="830">
      <c r="A830" s="6"/>
      <c r="D830" s="6"/>
    </row>
    <row r="831">
      <c r="A831" s="6"/>
      <c r="D831" s="6"/>
    </row>
    <row r="832">
      <c r="A832" s="6"/>
      <c r="D832" s="6"/>
    </row>
    <row r="833">
      <c r="A833" s="6"/>
      <c r="D833" s="6"/>
    </row>
    <row r="834">
      <c r="A834" s="6"/>
      <c r="D834" s="6"/>
    </row>
    <row r="835">
      <c r="A835" s="6"/>
      <c r="D835" s="6"/>
    </row>
    <row r="836">
      <c r="A836" s="6"/>
      <c r="D836" s="6"/>
    </row>
    <row r="837">
      <c r="A837" s="6"/>
      <c r="D837" s="6"/>
    </row>
    <row r="838">
      <c r="A838" s="6"/>
      <c r="D838" s="6"/>
    </row>
    <row r="839">
      <c r="A839" s="6"/>
      <c r="D839" s="6"/>
    </row>
    <row r="840">
      <c r="A840" s="6"/>
      <c r="D840" s="6"/>
    </row>
    <row r="841">
      <c r="A841" s="6"/>
      <c r="D841" s="6"/>
    </row>
    <row r="842">
      <c r="A842" s="6"/>
      <c r="D842" s="6"/>
    </row>
    <row r="843">
      <c r="A843" s="6"/>
      <c r="D843" s="6"/>
    </row>
    <row r="844">
      <c r="A844" s="6"/>
      <c r="D844" s="6"/>
    </row>
    <row r="845">
      <c r="A845" s="6"/>
      <c r="D845" s="6"/>
    </row>
    <row r="846">
      <c r="A846" s="6"/>
      <c r="D846" s="6"/>
    </row>
    <row r="847">
      <c r="A847" s="6"/>
      <c r="D847" s="6"/>
    </row>
    <row r="848">
      <c r="A848" s="6"/>
      <c r="D848" s="6"/>
    </row>
    <row r="849">
      <c r="A849" s="6"/>
      <c r="D849" s="6"/>
    </row>
    <row r="850">
      <c r="A850" s="6"/>
      <c r="D850" s="6"/>
    </row>
    <row r="851">
      <c r="A851" s="6"/>
      <c r="D851" s="6"/>
    </row>
    <row r="852">
      <c r="A852" s="6"/>
      <c r="D852" s="6"/>
    </row>
    <row r="853">
      <c r="A853" s="6"/>
      <c r="D853" s="6"/>
    </row>
    <row r="854">
      <c r="A854" s="6"/>
      <c r="D854" s="6"/>
    </row>
    <row r="855">
      <c r="A855" s="6"/>
      <c r="D855" s="6"/>
    </row>
    <row r="856">
      <c r="A856" s="6"/>
      <c r="D856" s="6"/>
    </row>
    <row r="857">
      <c r="A857" s="6"/>
      <c r="D857" s="6"/>
    </row>
    <row r="858">
      <c r="A858" s="6"/>
      <c r="D858" s="6"/>
    </row>
    <row r="859">
      <c r="A859" s="6"/>
      <c r="D859" s="6"/>
    </row>
    <row r="860">
      <c r="A860" s="6"/>
      <c r="D860" s="6"/>
    </row>
    <row r="861">
      <c r="A861" s="6"/>
      <c r="D861" s="6"/>
    </row>
    <row r="862">
      <c r="A862" s="6"/>
      <c r="D862" s="6"/>
    </row>
    <row r="863">
      <c r="A863" s="6"/>
      <c r="D863" s="6"/>
    </row>
    <row r="864">
      <c r="A864" s="6"/>
      <c r="D864" s="6"/>
    </row>
    <row r="865">
      <c r="A865" s="6"/>
      <c r="D865" s="6"/>
    </row>
    <row r="866">
      <c r="A866" s="6"/>
      <c r="D866" s="6"/>
    </row>
    <row r="867">
      <c r="A867" s="6"/>
      <c r="D867" s="6"/>
    </row>
    <row r="868">
      <c r="A868" s="6"/>
      <c r="D868" s="6"/>
    </row>
    <row r="869">
      <c r="A869" s="6"/>
      <c r="D869" s="6"/>
    </row>
    <row r="870">
      <c r="A870" s="6"/>
      <c r="D870" s="6"/>
    </row>
    <row r="871">
      <c r="A871" s="6"/>
      <c r="D871" s="6"/>
    </row>
    <row r="872">
      <c r="A872" s="6"/>
      <c r="D872" s="6"/>
    </row>
    <row r="873">
      <c r="A873" s="6"/>
      <c r="D873" s="6"/>
    </row>
    <row r="874">
      <c r="A874" s="6"/>
      <c r="D874" s="6"/>
    </row>
    <row r="875">
      <c r="A875" s="6"/>
      <c r="D875" s="6"/>
    </row>
    <row r="876">
      <c r="A876" s="6"/>
      <c r="D876" s="6"/>
    </row>
    <row r="877">
      <c r="A877" s="6"/>
      <c r="D877" s="6"/>
    </row>
    <row r="878">
      <c r="A878" s="6"/>
      <c r="D878" s="6"/>
    </row>
    <row r="879">
      <c r="A879" s="6"/>
      <c r="D879" s="6"/>
    </row>
    <row r="880">
      <c r="A880" s="6"/>
      <c r="D880" s="6"/>
    </row>
    <row r="881">
      <c r="A881" s="6"/>
      <c r="D881" s="6"/>
    </row>
    <row r="882">
      <c r="A882" s="6"/>
      <c r="D882" s="6"/>
    </row>
    <row r="883">
      <c r="A883" s="6"/>
      <c r="D883" s="6"/>
    </row>
    <row r="884">
      <c r="A884" s="6"/>
      <c r="D884" s="6"/>
    </row>
    <row r="885">
      <c r="A885" s="6"/>
      <c r="D885" s="6"/>
    </row>
    <row r="886">
      <c r="A886" s="6"/>
      <c r="D886" s="6"/>
    </row>
    <row r="887">
      <c r="A887" s="6"/>
      <c r="D887" s="6"/>
    </row>
    <row r="888">
      <c r="A888" s="6"/>
      <c r="D888" s="6"/>
    </row>
    <row r="889">
      <c r="A889" s="6"/>
      <c r="D889" s="6"/>
    </row>
    <row r="890">
      <c r="A890" s="6"/>
      <c r="D890" s="6"/>
    </row>
    <row r="891">
      <c r="A891" s="6"/>
      <c r="D891" s="6"/>
    </row>
    <row r="892">
      <c r="A892" s="6"/>
      <c r="D892" s="6"/>
    </row>
    <row r="893">
      <c r="A893" s="6"/>
      <c r="D893" s="6"/>
    </row>
    <row r="894">
      <c r="A894" s="6"/>
      <c r="D894" s="6"/>
    </row>
    <row r="895">
      <c r="A895" s="6"/>
      <c r="D895" s="6"/>
    </row>
    <row r="896">
      <c r="A896" s="6"/>
      <c r="D896" s="6"/>
    </row>
    <row r="897">
      <c r="A897" s="6"/>
      <c r="D897" s="6"/>
    </row>
    <row r="898">
      <c r="A898" s="6"/>
      <c r="D898" s="6"/>
    </row>
    <row r="899">
      <c r="A899" s="6"/>
      <c r="D899" s="6"/>
    </row>
    <row r="900">
      <c r="A900" s="6"/>
      <c r="D900" s="6"/>
    </row>
    <row r="901">
      <c r="A901" s="6"/>
      <c r="D901" s="6"/>
    </row>
    <row r="902">
      <c r="A902" s="6"/>
      <c r="D902" s="6"/>
    </row>
    <row r="903">
      <c r="A903" s="6"/>
      <c r="D903" s="6"/>
    </row>
    <row r="904">
      <c r="A904" s="6"/>
      <c r="D904" s="6"/>
    </row>
    <row r="905">
      <c r="A905" s="6"/>
      <c r="D905" s="6"/>
    </row>
    <row r="906">
      <c r="A906" s="6"/>
      <c r="D906" s="6"/>
    </row>
    <row r="907">
      <c r="A907" s="6"/>
      <c r="D907" s="6"/>
    </row>
    <row r="908">
      <c r="A908" s="6"/>
      <c r="D908" s="6"/>
    </row>
    <row r="909">
      <c r="A909" s="6"/>
      <c r="D909" s="6"/>
    </row>
    <row r="910">
      <c r="A910" s="6"/>
      <c r="D910" s="6"/>
    </row>
    <row r="911">
      <c r="A911" s="6"/>
      <c r="D911" s="6"/>
    </row>
    <row r="912">
      <c r="A912" s="6"/>
      <c r="D912" s="6"/>
    </row>
    <row r="913">
      <c r="A913" s="6"/>
      <c r="D913" s="6"/>
    </row>
    <row r="914">
      <c r="A914" s="6"/>
      <c r="D914" s="6"/>
    </row>
    <row r="915">
      <c r="A915" s="6"/>
      <c r="D915" s="6"/>
    </row>
    <row r="916">
      <c r="A916" s="6"/>
      <c r="D916" s="6"/>
    </row>
    <row r="917">
      <c r="A917" s="6"/>
      <c r="D917" s="6"/>
    </row>
    <row r="918">
      <c r="A918" s="6"/>
      <c r="D918" s="6"/>
    </row>
    <row r="919">
      <c r="A919" s="6"/>
      <c r="D919" s="6"/>
    </row>
    <row r="920">
      <c r="A920" s="6"/>
      <c r="D920" s="6"/>
    </row>
    <row r="921">
      <c r="A921" s="6"/>
      <c r="D921" s="6"/>
    </row>
    <row r="922">
      <c r="A922" s="6"/>
      <c r="D922" s="6"/>
    </row>
    <row r="923">
      <c r="A923" s="6"/>
      <c r="D923" s="6"/>
    </row>
    <row r="924">
      <c r="A924" s="6"/>
      <c r="D924" s="6"/>
    </row>
    <row r="925">
      <c r="A925" s="6"/>
      <c r="D925" s="6"/>
    </row>
    <row r="926">
      <c r="A926" s="6"/>
      <c r="D926" s="6"/>
    </row>
    <row r="927">
      <c r="A927" s="6"/>
      <c r="D927" s="6"/>
    </row>
    <row r="928">
      <c r="A928" s="6"/>
      <c r="D928" s="6"/>
    </row>
    <row r="929">
      <c r="A929" s="6"/>
      <c r="D929" s="6"/>
    </row>
    <row r="930">
      <c r="A930" s="6"/>
      <c r="D930" s="6"/>
    </row>
    <row r="931">
      <c r="A931" s="6"/>
      <c r="D931" s="6"/>
    </row>
    <row r="932">
      <c r="A932" s="6"/>
      <c r="D932" s="6"/>
    </row>
    <row r="933">
      <c r="A933" s="6"/>
      <c r="D933" s="6"/>
    </row>
    <row r="934">
      <c r="A934" s="6"/>
      <c r="D934" s="6"/>
    </row>
    <row r="935">
      <c r="A935" s="6"/>
      <c r="D935" s="6"/>
    </row>
    <row r="936">
      <c r="A936" s="6"/>
      <c r="D936" s="6"/>
    </row>
    <row r="937">
      <c r="A937" s="6"/>
      <c r="D937" s="6"/>
    </row>
    <row r="938">
      <c r="A938" s="6"/>
      <c r="D938" s="6"/>
    </row>
    <row r="939">
      <c r="A939" s="6"/>
      <c r="D939" s="6"/>
    </row>
    <row r="940">
      <c r="A940" s="6"/>
      <c r="D940" s="6"/>
    </row>
    <row r="941">
      <c r="A941" s="6"/>
      <c r="D941" s="6"/>
    </row>
    <row r="942">
      <c r="A942" s="6"/>
      <c r="D942" s="6"/>
    </row>
    <row r="943">
      <c r="A943" s="6"/>
      <c r="D943" s="6"/>
    </row>
    <row r="944">
      <c r="A944" s="6"/>
      <c r="D944" s="6"/>
    </row>
    <row r="945">
      <c r="A945" s="6"/>
      <c r="D945" s="6"/>
    </row>
    <row r="946">
      <c r="A946" s="6"/>
      <c r="D946" s="6"/>
    </row>
    <row r="947">
      <c r="A947" s="6"/>
      <c r="D947" s="6"/>
    </row>
    <row r="948">
      <c r="A948" s="6"/>
      <c r="D948" s="6"/>
    </row>
    <row r="949">
      <c r="A949" s="6"/>
      <c r="D949" s="6"/>
    </row>
    <row r="950">
      <c r="A950" s="6"/>
      <c r="D950" s="6"/>
    </row>
    <row r="951">
      <c r="A951" s="6"/>
      <c r="D951" s="6"/>
    </row>
    <row r="952">
      <c r="A952" s="6"/>
      <c r="D952" s="6"/>
    </row>
    <row r="953">
      <c r="A953" s="6"/>
      <c r="D953" s="6"/>
    </row>
    <row r="954">
      <c r="A954" s="6"/>
      <c r="D954" s="6"/>
    </row>
    <row r="955">
      <c r="A955" s="6"/>
      <c r="D955" s="6"/>
    </row>
    <row r="956">
      <c r="A956" s="6"/>
      <c r="D956" s="6"/>
    </row>
    <row r="957">
      <c r="A957" s="6"/>
      <c r="D957" s="6"/>
    </row>
    <row r="958">
      <c r="A958" s="6"/>
      <c r="D958" s="6"/>
    </row>
    <row r="959">
      <c r="A959" s="6"/>
      <c r="D959" s="6"/>
    </row>
    <row r="960">
      <c r="A960" s="6"/>
      <c r="D960" s="6"/>
    </row>
    <row r="961">
      <c r="A961" s="6"/>
      <c r="D961" s="6"/>
    </row>
    <row r="962">
      <c r="A962" s="6"/>
      <c r="D962" s="6"/>
    </row>
    <row r="963">
      <c r="A963" s="6"/>
      <c r="D963" s="6"/>
    </row>
    <row r="964">
      <c r="A964" s="6"/>
      <c r="D964" s="6"/>
    </row>
    <row r="965">
      <c r="A965" s="6"/>
      <c r="D965" s="6"/>
    </row>
    <row r="966">
      <c r="A966" s="6"/>
      <c r="D966" s="6"/>
    </row>
    <row r="967">
      <c r="A967" s="6"/>
      <c r="D967" s="6"/>
    </row>
    <row r="968">
      <c r="A968" s="6"/>
      <c r="D968" s="6"/>
    </row>
    <row r="969">
      <c r="A969" s="6"/>
      <c r="D969" s="6"/>
    </row>
    <row r="970">
      <c r="A970" s="6"/>
      <c r="D970" s="6"/>
    </row>
    <row r="971">
      <c r="A971" s="6"/>
      <c r="D971" s="6"/>
    </row>
    <row r="972">
      <c r="A972" s="6"/>
      <c r="D972" s="6"/>
    </row>
    <row r="973">
      <c r="A973" s="6"/>
      <c r="D973" s="6"/>
    </row>
    <row r="974">
      <c r="A974" s="6"/>
      <c r="D974" s="6"/>
    </row>
    <row r="975">
      <c r="A975" s="6"/>
      <c r="D975" s="6"/>
    </row>
    <row r="976">
      <c r="A976" s="6"/>
      <c r="D976" s="6"/>
    </row>
    <row r="977">
      <c r="A977" s="6"/>
      <c r="D977" s="6"/>
    </row>
    <row r="978">
      <c r="A978" s="6"/>
      <c r="D978" s="6"/>
    </row>
    <row r="979">
      <c r="A979" s="6"/>
      <c r="D979" s="6"/>
    </row>
    <row r="980">
      <c r="A980" s="6"/>
      <c r="D980" s="6"/>
    </row>
    <row r="981">
      <c r="A981" s="6"/>
      <c r="D981" s="6"/>
    </row>
    <row r="982">
      <c r="A982" s="6"/>
      <c r="D982" s="6"/>
    </row>
    <row r="983">
      <c r="A983" s="6"/>
      <c r="D983" s="6"/>
    </row>
    <row r="984">
      <c r="A984" s="6"/>
      <c r="D984" s="6"/>
    </row>
    <row r="985">
      <c r="A985" s="6"/>
      <c r="D985" s="6"/>
    </row>
    <row r="986">
      <c r="A986" s="6"/>
      <c r="D986" s="6"/>
    </row>
    <row r="987">
      <c r="A987" s="6"/>
      <c r="D987" s="6"/>
    </row>
    <row r="988">
      <c r="A988" s="6"/>
      <c r="D988" s="6"/>
    </row>
    <row r="989">
      <c r="A989" s="6"/>
      <c r="D989" s="6"/>
    </row>
    <row r="990">
      <c r="A990" s="6"/>
      <c r="D990" s="6"/>
    </row>
    <row r="991">
      <c r="A991" s="6"/>
      <c r="D991" s="6"/>
    </row>
    <row r="992">
      <c r="A992" s="6"/>
      <c r="D992" s="6"/>
    </row>
    <row r="993">
      <c r="A993" s="6"/>
      <c r="D993" s="6"/>
    </row>
    <row r="994">
      <c r="A994" s="6"/>
      <c r="D994" s="6"/>
    </row>
    <row r="995">
      <c r="A995" s="6"/>
      <c r="D995" s="6"/>
    </row>
    <row r="996">
      <c r="A996" s="6"/>
      <c r="D996" s="6"/>
    </row>
    <row r="997">
      <c r="A997" s="6"/>
      <c r="D997" s="6"/>
    </row>
    <row r="998">
      <c r="A998" s="6"/>
      <c r="D998" s="6"/>
    </row>
    <row r="999">
      <c r="A999" s="6"/>
      <c r="D999" s="6"/>
    </row>
    <row r="1000">
      <c r="A1000" s="6"/>
      <c r="D1000" s="6"/>
    </row>
    <row r="1001">
      <c r="A1001" s="6"/>
      <c r="D1001" s="6"/>
    </row>
    <row r="1002">
      <c r="A1002" s="6"/>
      <c r="D1002" s="6"/>
    </row>
    <row r="1003">
      <c r="A1003" s="6"/>
      <c r="D1003" s="6"/>
    </row>
    <row r="1004">
      <c r="A1004" s="6"/>
      <c r="D1004" s="6"/>
    </row>
    <row r="1005">
      <c r="A1005" s="6"/>
      <c r="D1005" s="6"/>
    </row>
    <row r="1006">
      <c r="A1006" s="6"/>
      <c r="D1006" s="6"/>
    </row>
    <row r="1007">
      <c r="A1007" s="6"/>
      <c r="D1007" s="6"/>
    </row>
    <row r="1008">
      <c r="A1008" s="6"/>
      <c r="D1008" s="6"/>
    </row>
    <row r="1009">
      <c r="A1009" s="6"/>
      <c r="D1009" s="6"/>
    </row>
    <row r="1010">
      <c r="A1010" s="6"/>
      <c r="D1010" s="6"/>
    </row>
    <row r="1011">
      <c r="A1011" s="6"/>
      <c r="D1011" s="6"/>
    </row>
    <row r="1012">
      <c r="A1012" s="6"/>
      <c r="D1012" s="6"/>
    </row>
    <row r="1013">
      <c r="A1013" s="6"/>
      <c r="D1013" s="6"/>
    </row>
    <row r="1014">
      <c r="A1014" s="6"/>
      <c r="D1014" s="6"/>
    </row>
    <row r="1015">
      <c r="A1015" s="6"/>
      <c r="D1015" s="6"/>
    </row>
    <row r="1016">
      <c r="A1016" s="6"/>
      <c r="D1016" s="6"/>
    </row>
    <row r="1017">
      <c r="A1017" s="6"/>
      <c r="D1017" s="6"/>
    </row>
    <row r="1018">
      <c r="A1018" s="6"/>
      <c r="D1018" s="6"/>
    </row>
    <row r="1019">
      <c r="A1019" s="6"/>
      <c r="D1019" s="6"/>
    </row>
    <row r="1020">
      <c r="A1020" s="6"/>
      <c r="D1020" s="6"/>
    </row>
    <row r="1021">
      <c r="A1021" s="6"/>
      <c r="D1021" s="6"/>
    </row>
    <row r="1022">
      <c r="A1022" s="6"/>
      <c r="D1022" s="6"/>
    </row>
    <row r="1023">
      <c r="A1023" s="6"/>
      <c r="D1023" s="6"/>
    </row>
    <row r="1024">
      <c r="A1024" s="6"/>
      <c r="D1024" s="6"/>
    </row>
    <row r="1025">
      <c r="A1025" s="6"/>
      <c r="D1025" s="6"/>
    </row>
    <row r="1026">
      <c r="A1026" s="6"/>
      <c r="D1026" s="6"/>
    </row>
    <row r="1027">
      <c r="A1027" s="6"/>
      <c r="D1027" s="6"/>
    </row>
    <row r="1028">
      <c r="A1028" s="6"/>
      <c r="D1028" s="6"/>
    </row>
    <row r="1029">
      <c r="A1029" s="6"/>
      <c r="D1029" s="6"/>
    </row>
    <row r="1030">
      <c r="A1030" s="6"/>
      <c r="D1030" s="6"/>
    </row>
    <row r="1031">
      <c r="A1031" s="6"/>
      <c r="D1031" s="6"/>
    </row>
    <row r="1032">
      <c r="A1032" s="6"/>
      <c r="D1032" s="6"/>
    </row>
    <row r="1033">
      <c r="A1033" s="6"/>
      <c r="D1033" s="6"/>
    </row>
    <row r="1034">
      <c r="A1034" s="6"/>
      <c r="D1034" s="6"/>
    </row>
    <row r="1035">
      <c r="A1035" s="6"/>
      <c r="D1035" s="6"/>
    </row>
    <row r="1036">
      <c r="A1036" s="6"/>
      <c r="D1036" s="6"/>
    </row>
    <row r="1037">
      <c r="A1037" s="6"/>
      <c r="D1037" s="6"/>
    </row>
    <row r="1038">
      <c r="A1038" s="6"/>
      <c r="D1038" s="6"/>
    </row>
    <row r="1039">
      <c r="A1039" s="6"/>
      <c r="D1039" s="6"/>
    </row>
    <row r="1040">
      <c r="A1040" s="6"/>
      <c r="D1040" s="6"/>
    </row>
    <row r="1041">
      <c r="A1041" s="6"/>
      <c r="D1041" s="6"/>
    </row>
    <row r="1042">
      <c r="A1042" s="6"/>
      <c r="D1042" s="6"/>
    </row>
    <row r="1043">
      <c r="A1043" s="6"/>
      <c r="D1043" s="6"/>
    </row>
    <row r="1044">
      <c r="A1044" s="6"/>
      <c r="D1044" s="6"/>
    </row>
    <row r="1045">
      <c r="A1045" s="6"/>
      <c r="D1045" s="6"/>
    </row>
  </sheetData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1</v>
      </c>
    </row>
    <row r="2">
      <c r="A2" s="1"/>
      <c r="B2" s="1" t="s">
        <v>3</v>
      </c>
      <c r="H2" s="1" t="s">
        <v>5</v>
      </c>
    </row>
    <row r="3">
      <c r="A3" s="1"/>
      <c r="B3" s="1" t="s">
        <v>8</v>
      </c>
      <c r="H3" s="1" t="s">
        <v>10</v>
      </c>
      <c r="I3" s="1" t="s">
        <v>13</v>
      </c>
    </row>
    <row r="4">
      <c r="A4" s="1"/>
      <c r="B4" s="1" t="s">
        <v>17</v>
      </c>
      <c r="C4" s="1"/>
      <c r="D4" s="1"/>
      <c r="E4" s="1"/>
    </row>
    <row r="5">
      <c r="A5" s="1"/>
      <c r="B5" s="1" t="s">
        <v>23</v>
      </c>
      <c r="C5" s="1"/>
      <c r="D5" s="1"/>
      <c r="E5" s="1"/>
    </row>
    <row r="6">
      <c r="B6" s="1" t="s">
        <v>28</v>
      </c>
      <c r="C6" s="1"/>
      <c r="D6" s="1"/>
      <c r="E6" s="1"/>
      <c r="F6" s="1"/>
      <c r="G6" s="1"/>
      <c r="I6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1" t="s">
        <v>1</v>
      </c>
    </row>
    <row r="3">
      <c r="A3" s="1" t="s">
        <v>2</v>
      </c>
    </row>
    <row r="4">
      <c r="A4" s="1" t="s">
        <v>4</v>
      </c>
    </row>
    <row r="5">
      <c r="A5" s="1" t="s">
        <v>7</v>
      </c>
    </row>
    <row r="6">
      <c r="A6" s="1" t="s">
        <v>12</v>
      </c>
    </row>
    <row r="7">
      <c r="A7" s="1" t="s">
        <v>15</v>
      </c>
    </row>
    <row r="8">
      <c r="A8" s="1" t="s">
        <v>20</v>
      </c>
    </row>
    <row r="9">
      <c r="A9" s="1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13"/>
    <col customWidth="1" min="4" max="4" width="57.13"/>
  </cols>
  <sheetData>
    <row r="1">
      <c r="A1" s="3" t="s">
        <v>9</v>
      </c>
      <c r="B1" s="3" t="s">
        <v>14</v>
      </c>
      <c r="C1" s="3" t="s">
        <v>18</v>
      </c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t="str">
        <f>Products!D3</f>
        <v>8112</v>
      </c>
      <c r="B2" t="str">
        <f>Products!B3</f>
        <v>Bundle: Bundles, Lotion Bar, Honeysticks plus tincture, 1400mg</v>
      </c>
      <c r="C2" t="str">
        <f>Products!F3</f>
        <v>Bundle</v>
      </c>
      <c r="D2" s="1" t="s">
        <v>35</v>
      </c>
    </row>
    <row r="3">
      <c r="A3" t="str">
        <f>Products!D4</f>
        <v>8111</v>
      </c>
      <c r="B3" t="str">
        <f>Products!B4</f>
        <v>Bundle: Bundles, Lotion Bar, Honeysticks plus tincture, 2800mg</v>
      </c>
      <c r="C3" t="str">
        <f>Products!F4</f>
        <v>Bundle</v>
      </c>
      <c r="D3" s="1" t="s">
        <v>38</v>
      </c>
    </row>
    <row r="4">
      <c r="A4" t="str">
        <f>Products!D5</f>
        <v>8113</v>
      </c>
      <c r="B4" t="str">
        <f>Products!B5</f>
        <v>Bundle: Bundles, Lotion Bar, Honeysticks plus tincture, 700mg</v>
      </c>
      <c r="C4" t="str">
        <f>Products!F5</f>
        <v>Bundle</v>
      </c>
      <c r="D4" s="1" t="s">
        <v>42</v>
      </c>
    </row>
    <row r="5">
      <c r="A5" t="str">
        <f>Products!D6</f>
        <v>8221</v>
      </c>
      <c r="B5" t="str">
        <f>Products!B6</f>
        <v>Bundle: Gift Packs, 1/2oz adv tincture, 1 lotion bar, 10 taffies, Default</v>
      </c>
      <c r="C5" t="str">
        <f>Products!F6</f>
        <v>Bundle</v>
      </c>
      <c r="D5" t="str">
        <f>B5</f>
        <v>Bundle: Gift Packs, 1/2oz adv tincture, 1 lotion bar, 10 taffies, Default</v>
      </c>
    </row>
    <row r="6">
      <c r="A6" t="str">
        <f>Products!D7</f>
        <v>8211</v>
      </c>
      <c r="B6" t="str">
        <f>Products!B7</f>
        <v>Bundle: Gift Packs, 30 ct gelcaps, 1 lotion bar, 10 taffies, Default</v>
      </c>
      <c r="C6" t="str">
        <f>Products!F7</f>
        <v>Bundle</v>
      </c>
      <c r="D6" s="1" t="s">
        <v>47</v>
      </c>
    </row>
    <row r="7">
      <c r="A7" t="str">
        <f>Products!D8</f>
        <v>8211</v>
      </c>
      <c r="B7" t="str">
        <f>Products!B8</f>
        <v>Bundle: Gift Packs, taffies and lotion bar plus another product, 1/2oz advanced tincture</v>
      </c>
      <c r="C7" t="str">
        <f>Products!F8</f>
        <v>Bundle</v>
      </c>
      <c r="D7" t="str">
        <f>B7</f>
        <v>Bundle: Gift Packs, taffies and lotion bar plus another product, 1/2oz advanced tincture</v>
      </c>
    </row>
    <row r="8">
      <c r="A8" t="str">
        <f>Products!D9</f>
        <v>8212</v>
      </c>
      <c r="B8" t="str">
        <f>Products!B9</f>
        <v>Bundle: Gift Packs, taffies and lotion bar plus another product, 30ct advanced gelcaps</v>
      </c>
      <c r="C8" t="str">
        <f>Products!F9</f>
        <v>Bundle</v>
      </c>
      <c r="D8" s="1" t="s">
        <v>57</v>
      </c>
    </row>
    <row r="9">
      <c r="A9" t="str">
        <f>Products!D10</f>
        <v>8111</v>
      </c>
      <c r="B9" t="str">
        <f>Products!B10</f>
        <v>Bundle: Starter Packs, Gold Package (2800, lotion bar &amp; honeysticks), Default</v>
      </c>
      <c r="C9" t="str">
        <f>Products!F10</f>
        <v>Bundle</v>
      </c>
      <c r="D9" s="1" t="s">
        <v>66</v>
      </c>
    </row>
    <row r="10">
      <c r="A10" t="str">
        <f>Products!D17</f>
        <v>3114</v>
      </c>
      <c r="B10" t="str">
        <f>Products!B17</f>
        <v>Edible: Hemp Honey Sticks, Original Formula, 100 Pack</v>
      </c>
      <c r="C10" t="str">
        <f>Products!F17</f>
        <v>Edible</v>
      </c>
      <c r="D10" t="str">
        <f t="shared" ref="D10:D14" si="1">B10</f>
        <v>Edible: Hemp Honey Sticks, Original Formula, 100 Pack</v>
      </c>
    </row>
    <row r="11">
      <c r="A11" t="str">
        <f>Products!D18</f>
        <v>3112</v>
      </c>
      <c r="B11" t="str">
        <f>Products!B18</f>
        <v>Edible: Hemp Honey Sticks, Original Formula, 20 Pack</v>
      </c>
      <c r="C11" t="str">
        <f>Products!F18</f>
        <v>Edible</v>
      </c>
      <c r="D11" t="str">
        <f t="shared" si="1"/>
        <v>Edible: Hemp Honey Sticks, Original Formula, 20 Pack</v>
      </c>
    </row>
    <row r="12">
      <c r="A12" t="str">
        <f>Products!D20</f>
        <v>3111</v>
      </c>
      <c r="B12" t="str">
        <f>Products!B20</f>
        <v>Edible: Hemp Honey Sticks, Original Formula, Individual Stick</v>
      </c>
      <c r="C12" t="str">
        <f>Products!F20</f>
        <v>Edible</v>
      </c>
      <c r="D12" t="str">
        <f t="shared" si="1"/>
        <v>Edible: Hemp Honey Sticks, Original Formula, Individual Stick</v>
      </c>
    </row>
    <row r="13">
      <c r="A13" t="str">
        <f>Products!D21</f>
        <v>3211</v>
      </c>
      <c r="B13" t="str">
        <f>Products!B21</f>
        <v>Edible: Saltwater Taffy, 1.28g extract per lb, 5g
taffy with caramel 
flavoring, Single Serving</v>
      </c>
      <c r="C13" t="str">
        <f>Products!F21</f>
        <v>Edible</v>
      </c>
      <c r="D13" t="str">
        <f t="shared" si="1"/>
        <v>Edible: Saltwater Taffy, 1.28g extract per lb, 5g
taffy with caramel 
flavoring, Single Serving</v>
      </c>
    </row>
    <row r="14">
      <c r="A14">
        <f>Products!D22</f>
        <v>3224</v>
      </c>
      <c r="B14" t="str">
        <f>Products!B22</f>
        <v>Edible: Saltwater Taffy, 1.4g CBD Isolate per lb, 5g taffy with
caramel flavoring, 50 Pack</v>
      </c>
      <c r="C14" t="str">
        <f>Products!F22</f>
        <v>Edible</v>
      </c>
      <c r="D14" t="str">
        <f t="shared" si="1"/>
        <v>Edible: Saltwater Taffy, 1.4g CBD Isolate per lb, 5g taffy with
caramel flavoring, 50 Pack</v>
      </c>
    </row>
    <row r="15">
      <c r="A15" t="str">
        <f>Products!D23</f>
        <v>3212</v>
      </c>
      <c r="B15" t="str">
        <f>Products!B23</f>
        <v>Edible: Saltwater Taffy, 1.5g extract per lb, 5g
taffy with caramel 
flavoring, 10 Pack</v>
      </c>
      <c r="C15" t="str">
        <f>Products!F23</f>
        <v>Edible</v>
      </c>
      <c r="D15" s="1" t="s">
        <v>90</v>
      </c>
    </row>
    <row r="16">
      <c r="A16" t="str">
        <f>Products!D24</f>
        <v>3213</v>
      </c>
      <c r="B16" t="str">
        <f>Products!B24</f>
        <v>Edible: Saltwater Taffy, 1.5g extract per lb, 5g
taffy with caramel 
flavoring, 20 Pack</v>
      </c>
      <c r="C16" t="str">
        <f>Products!F24</f>
        <v>Edible</v>
      </c>
      <c r="D16" s="1" t="s">
        <v>95</v>
      </c>
    </row>
    <row r="17">
      <c r="A17" t="str">
        <f>Products!D25</f>
        <v>3214</v>
      </c>
      <c r="B17" t="str">
        <f>Products!B25</f>
        <v>Edible: Saltwater Taffy, 1.5g extract per lb, 5g
taffy with caramel 
flavoring, 50 Pack</v>
      </c>
      <c r="C17" t="str">
        <f>Products!F25</f>
        <v>Edible</v>
      </c>
      <c r="D17" s="1" t="s">
        <v>103</v>
      </c>
    </row>
    <row r="18">
      <c r="A18" t="str">
        <f>Products!D26</f>
        <v>E-LemonTaffies50</v>
      </c>
      <c r="B18" t="str">
        <f>Products!B26</f>
        <v>Edible: Saltwater Taffy, 1.5g extract per lb, 5g taffy with
lemon flavor, 50 Pack</v>
      </c>
      <c r="C18" t="str">
        <f>Products!F26</f>
        <v>Edible</v>
      </c>
      <c r="D18" s="1" t="s">
        <v>107</v>
      </c>
    </row>
    <row r="19">
      <c r="A19" t="str">
        <f>Products!D27</f>
        <v>3234</v>
      </c>
      <c r="B19" t="str">
        <f>Products!B27</f>
        <v>Edible: Saltwater Taffy, 1.5g extract per lb, 5g taffy with
peanut butter flavor, 50 Pack</v>
      </c>
      <c r="C19" t="str">
        <f>Products!F27</f>
        <v>Edible</v>
      </c>
      <c r="D19" t="str">
        <f>B19</f>
        <v>Edible: Saltwater Taffy, 1.5g extract per lb, 5g taffy with
peanut butter flavor, 50 Pack</v>
      </c>
    </row>
    <row r="20">
      <c r="A20" t="str">
        <f>Products!D28</f>
        <v/>
      </c>
      <c r="B20" t="str">
        <f>Products!B28</f>
        <v>Edible: Saltwater Taffy, 10.9g 85% D8 distillate per lb-taffy, 20 Pack</v>
      </c>
      <c r="C20" t="str">
        <f>Products!F28</f>
        <v>Edible</v>
      </c>
      <c r="D20" s="1" t="s">
        <v>114</v>
      </c>
    </row>
    <row r="21">
      <c r="A21" t="str">
        <f>Products!D29</f>
        <v>0112</v>
      </c>
      <c r="B21" t="str">
        <f>Products!B29</f>
        <v>Other: Gelcaps, Advanced Formula 1/2mL
gelcaps (22 mg/gelcap), 30 ct bottle</v>
      </c>
      <c r="C21" t="str">
        <f>Products!F29</f>
        <v>Other</v>
      </c>
      <c r="D21" t="str">
        <f>B21</f>
        <v>Other: Gelcaps, Advanced Formula 1/2mL
gelcaps (22 mg/gelcap), 30 ct bottle</v>
      </c>
    </row>
    <row r="22">
      <c r="A22" t="str">
        <f>Products!D31</f>
        <v>0020</v>
      </c>
      <c r="B22" t="str">
        <f>Products!B31</f>
        <v>Other: Transaction Costs, Payment Processing Fee, Credit Card</v>
      </c>
      <c r="C22" t="str">
        <f>Products!F31</f>
        <v>Other</v>
      </c>
      <c r="D22" s="1" t="s">
        <v>124</v>
      </c>
    </row>
    <row r="23">
      <c r="A23" t="str">
        <f>Products!D32</f>
        <v>0012</v>
      </c>
      <c r="B23" t="str">
        <f>Products!B32</f>
        <v>Other: Transaction Costs, Shipping, Overnight</v>
      </c>
      <c r="C23" t="str">
        <f>Products!F32</f>
        <v>Other</v>
      </c>
      <c r="D23" s="1" t="s">
        <v>126</v>
      </c>
    </row>
    <row r="24">
      <c r="A24" t="str">
        <f>Products!D33</f>
        <v>0011</v>
      </c>
      <c r="B24" t="str">
        <f>Products!B33</f>
        <v>Other: Transaction Costs, Shipping, UPS</v>
      </c>
      <c r="C24" t="str">
        <f>Products!F33</f>
        <v>Other</v>
      </c>
      <c r="D24" s="1" t="s">
        <v>130</v>
      </c>
    </row>
    <row r="25">
      <c r="A25" t="str">
        <f>Products!D36</f>
        <v>T-1PetPB</v>
      </c>
      <c r="B25" t="str">
        <f>Products!B36</f>
        <v>Peanut Butter Pet Tincture, 1oz</v>
      </c>
      <c r="C25" t="str">
        <f>Products!F36</f>
        <v/>
      </c>
      <c r="D25" s="1" t="s">
        <v>130</v>
      </c>
    </row>
    <row r="26">
      <c r="A26" t="str">
        <f>Products!D37</f>
        <v>7111</v>
      </c>
      <c r="B26" t="str">
        <f>Products!B37</f>
        <v>Pet: Dog Treats, Original Formula
(wheat flour base,
5mg CBD per treat), 20 Pack</v>
      </c>
      <c r="C26" t="str">
        <f>Products!F37</f>
        <v>Pet</v>
      </c>
      <c r="D26" s="1" t="s">
        <v>144</v>
      </c>
    </row>
    <row r="27">
      <c r="A27" t="str">
        <f>Products!D39</f>
        <v>5311</v>
      </c>
      <c r="B27" t="str">
        <f>Products!B39</f>
        <v>Special: Apparel, T-Shirts, Original NSB Shirt</v>
      </c>
      <c r="C27" t="str">
        <f>Products!F39</f>
        <v>Special</v>
      </c>
      <c r="D27" s="1" t="s">
        <v>150</v>
      </c>
    </row>
    <row r="28">
      <c r="A28" t="str">
        <f>Products!D40</f>
        <v>5111</v>
      </c>
      <c r="B28" t="str">
        <f>Products!B40</f>
        <v>Special: Educational
Materials, "How to Think
About Hemp
Flower Extract"
trifold brochure, Default</v>
      </c>
      <c r="C28" t="str">
        <f>Products!F40</f>
        <v>Special</v>
      </c>
      <c r="D28" t="str">
        <f>B28</f>
        <v>Special: Educational
Materials, "How to Think
About Hemp
Flower Extract"
trifold brochure, Default</v>
      </c>
    </row>
    <row r="29">
      <c r="A29" t="str">
        <f>Products!D41</f>
        <v>5131</v>
      </c>
      <c r="B29" t="str">
        <f>Products!B41</f>
        <v>Special: Educational
Materials, Coozies, General</v>
      </c>
      <c r="C29" t="str">
        <f>Products!F41</f>
        <v>Special</v>
      </c>
      <c r="D29" s="1" t="s">
        <v>159</v>
      </c>
    </row>
    <row r="30">
      <c r="A30" t="str">
        <f>Products!D44</f>
        <v>5221</v>
      </c>
      <c r="B30" t="str">
        <f>Products!B44</f>
        <v>Special: Retail Displays, Three-Tier Plexi-
Glass Display
Case, Default</v>
      </c>
      <c r="C30" t="str">
        <f>Products!F44</f>
        <v>Special</v>
      </c>
      <c r="D30" t="str">
        <f>B30</f>
        <v>Special: Retail Displays, Three-Tier Plexi-
Glass Display
Case, Default</v>
      </c>
    </row>
    <row r="31">
      <c r="A31" t="str">
        <f>Products!D45</f>
        <v>5211</v>
      </c>
      <c r="B31" t="str">
        <f>Products!B45</f>
        <v>Special: Retail Displays, Trifold Brochure
Holder, Default</v>
      </c>
      <c r="C31" t="str">
        <f>Products!F45</f>
        <v>Special</v>
      </c>
      <c r="D31" s="1" t="s">
        <v>167</v>
      </c>
    </row>
    <row r="32">
      <c r="A32" t="str">
        <f>Products!D46</f>
        <v>5411</v>
      </c>
      <c r="B32" t="str">
        <f>Products!B46</f>
        <v>Special: Service Charges, CC Convenience Fee, Default</v>
      </c>
      <c r="C32" t="str">
        <f>Products!F46</f>
        <v>Special</v>
      </c>
      <c r="D32" t="str">
        <f>B32</f>
        <v>Special: Service Charges, CC Convenience Fee, Default</v>
      </c>
    </row>
    <row r="33">
      <c r="A33" t="str">
        <f>Products!D47</f>
        <v>2211</v>
      </c>
      <c r="B33" t="str">
        <f>Products!B47</f>
        <v>Tincture: Advanced Formula, Mint Chocolate Flavor, 1oz (30mL)</v>
      </c>
      <c r="C33" t="str">
        <f>Products!F47</f>
        <v>Tincture</v>
      </c>
      <c r="D33" s="1" t="s">
        <v>177</v>
      </c>
    </row>
    <row r="34">
      <c r="A34" t="str">
        <f>Products!D48</f>
        <v>2203</v>
      </c>
      <c r="B34" t="str">
        <f>Products!B48</f>
        <v>Tincture: Advanced Formula, No Additives, 1/2oz (15mL)</v>
      </c>
      <c r="C34" t="str">
        <f>Products!F48</f>
        <v>Tincture</v>
      </c>
      <c r="D34" t="str">
        <f t="shared" ref="D34:D36" si="2">B34</f>
        <v>Tincture: Advanced Formula, No Additives, 1/2oz (15mL)</v>
      </c>
    </row>
    <row r="35">
      <c r="A35" t="str">
        <f>Products!D49</f>
        <v>2205</v>
      </c>
      <c r="B35" t="str">
        <f>Products!B49</f>
        <v>Tincture: Advanced Formula, No Additives, 16oz</v>
      </c>
      <c r="C35" t="str">
        <f>Products!F49</f>
        <v>Tincture</v>
      </c>
      <c r="D35" t="str">
        <f t="shared" si="2"/>
        <v>Tincture: Advanced Formula, No Additives, 16oz</v>
      </c>
    </row>
    <row r="36">
      <c r="A36" t="str">
        <f>Products!D50</f>
        <v>2201</v>
      </c>
      <c r="B36" t="str">
        <f>Products!B50</f>
        <v>Tincture: Advanced Formula, No Additives, 1oz (30mL)</v>
      </c>
      <c r="C36" t="str">
        <f>Products!F50</f>
        <v>Tincture</v>
      </c>
      <c r="D36" t="str">
        <f t="shared" si="2"/>
        <v>Tincture: Advanced Formula, No Additives, 1oz (30mL)</v>
      </c>
    </row>
    <row r="37">
      <c r="A37" t="str">
        <f>Products!D51</f>
        <v>2204</v>
      </c>
      <c r="B37" t="str">
        <f>Products!B51</f>
        <v>Tincture: Advanced Formula, No Additives, 1oz and 2oz bottles</v>
      </c>
      <c r="C37" t="str">
        <f>Products!F51</f>
        <v>Tincture</v>
      </c>
      <c r="D37" s="1" t="s">
        <v>190</v>
      </c>
    </row>
    <row r="38">
      <c r="A38" t="str">
        <f>Products!D55</f>
        <v>2111</v>
      </c>
      <c r="B38" t="str">
        <f>Products!B55</f>
        <v>Tincture: Original Formula, Mint Chocolate Flavor, 1oz (30mL)</v>
      </c>
      <c r="C38" t="str">
        <f>Products!F55</f>
        <v>Tincture</v>
      </c>
      <c r="D38" t="str">
        <f t="shared" ref="D38:D59" si="3">B38</f>
        <v>Tincture: Original Formula, Mint Chocolate Flavor, 1oz (30mL)</v>
      </c>
    </row>
    <row r="39">
      <c r="A39" t="str">
        <f>Products!D56</f>
        <v>2103</v>
      </c>
      <c r="B39" t="str">
        <f>Products!B56</f>
        <v>Tincture: Original Formula, No Additives, 1/2oz (15mL)</v>
      </c>
      <c r="C39" t="str">
        <f>Products!F56</f>
        <v>Tincture</v>
      </c>
      <c r="D39" t="str">
        <f t="shared" si="3"/>
        <v>Tincture: Original Formula, No Additives, 1/2oz (15mL)</v>
      </c>
    </row>
    <row r="40">
      <c r="A40" t="str">
        <f>Products!D57</f>
        <v>2101</v>
      </c>
      <c r="B40" t="str">
        <f>Products!B57</f>
        <v>Tincture: Original Formula, No Additives, 1oz (30mL)</v>
      </c>
      <c r="C40" t="str">
        <f>Products!F57</f>
        <v>Tincture</v>
      </c>
      <c r="D40" t="str">
        <f t="shared" si="3"/>
        <v>Tincture: Original Formula, No Additives, 1oz (30mL)</v>
      </c>
    </row>
    <row r="41">
      <c r="A41" t="str">
        <f>Products!D58</f>
        <v>2102</v>
      </c>
      <c r="B41" t="str">
        <f>Products!B58</f>
        <v>Tincture: Original Formula, No Additives, 2oz (60mL)</v>
      </c>
      <c r="C41" t="str">
        <f>Products!F58</f>
        <v>Tincture</v>
      </c>
      <c r="D41" t="str">
        <f t="shared" si="3"/>
        <v>Tincture: Original Formula, No Additives, 2oz (60mL)</v>
      </c>
    </row>
    <row r="42">
      <c r="A42" t="str">
        <f>Products!D59</f>
        <v>2121</v>
      </c>
      <c r="B42" t="str">
        <f>Products!B59</f>
        <v>Tincture: Original Formula, Peanut Butter Flavor, 1oz (30mL)</v>
      </c>
      <c r="C42" t="str">
        <f>Products!F59</f>
        <v>Tincture</v>
      </c>
      <c r="D42" t="str">
        <f t="shared" si="3"/>
        <v>Tincture: Original Formula, Peanut Butter Flavor, 1oz (30mL)</v>
      </c>
    </row>
    <row r="43">
      <c r="A43" t="str">
        <f>Products!D60</f>
        <v>2302</v>
      </c>
      <c r="B43" t="str">
        <f>Products!B60</f>
        <v>Tincture: Supreme Formula, No Additives, 1/2oz (15mL)</v>
      </c>
      <c r="C43" t="str">
        <f>Products!F60</f>
        <v>Tincture</v>
      </c>
      <c r="D43" t="str">
        <f t="shared" si="3"/>
        <v>Tincture: Supreme Formula, No Additives, 1/2oz (15mL)</v>
      </c>
    </row>
    <row r="44">
      <c r="A44" t="str">
        <f>Products!D61</f>
        <v>2301</v>
      </c>
      <c r="B44" t="str">
        <f>Products!B61</f>
        <v>Tincture: Supreme Formula, No Additives, 1oz (30mL)</v>
      </c>
      <c r="C44" t="str">
        <f>Products!F61</f>
        <v>Tincture</v>
      </c>
      <c r="D44" t="str">
        <f t="shared" si="3"/>
        <v>Tincture: Supreme Formula, No Additives, 1oz (30mL)</v>
      </c>
    </row>
    <row r="45">
      <c r="A45" t="str">
        <f>Products!D62</f>
        <v>6131</v>
      </c>
      <c r="B45" t="str">
        <f>Products!B62</f>
        <v>Topical: Balm, Original Formula, Individual (0.15oz tube)</v>
      </c>
      <c r="C45" t="str">
        <f>Products!F62</f>
        <v>Topical</v>
      </c>
      <c r="D45" t="str">
        <f t="shared" si="3"/>
        <v>Topical: Balm, Original Formula, Individual (0.15oz tube)</v>
      </c>
    </row>
    <row r="46">
      <c r="A46" t="str">
        <f>Products!D64</f>
        <v>6231</v>
      </c>
      <c r="B46" t="str">
        <f>Products!B64</f>
        <v>Topical: Lotion, Original Formula, Individual (0.5oz bar)</v>
      </c>
      <c r="C46" t="str">
        <f>Products!F64</f>
        <v>Topical</v>
      </c>
      <c r="D46" t="str">
        <f t="shared" si="3"/>
        <v>Topical: Lotion, Original Formula, Individual (0.5oz bar)</v>
      </c>
    </row>
    <row r="47">
      <c r="A47" t="str">
        <f>Products!D65</f>
        <v>6311</v>
      </c>
      <c r="B47" t="str">
        <f>Products!B65</f>
        <v>Topical: Salve, Cayenne Base, Individual (3oz jar)</v>
      </c>
      <c r="C47" t="str">
        <f>Products!F65</f>
        <v>Topical</v>
      </c>
      <c r="D47" t="str">
        <f t="shared" si="3"/>
        <v>Topical: Salve, Cayenne Base, Individual (3oz jar)</v>
      </c>
    </row>
    <row r="48">
      <c r="A48" t="str">
        <f>Products!D67</f>
        <v>1222</v>
      </c>
      <c r="B48" t="str">
        <f>Products!B67</f>
        <v>Vapor: 510 Refill, Fresh Flavor, 0.5mL (200mg)</v>
      </c>
      <c r="C48" t="str">
        <f>Products!F67</f>
        <v>Vapor</v>
      </c>
      <c r="D48" t="str">
        <f t="shared" si="3"/>
        <v>Vapor: 510 Refill, Fresh Flavor, 0.5mL (200mg)</v>
      </c>
    </row>
    <row r="49">
      <c r="A49" t="str">
        <f>Products!D68</f>
        <v>1221</v>
      </c>
      <c r="B49" t="str">
        <f>Products!B68</f>
        <v>Vapor: 510 Refill, Fresh Flavor, 1mL (400mg)</v>
      </c>
      <c r="C49" t="str">
        <f>Products!F68</f>
        <v>Vapor</v>
      </c>
      <c r="D49" t="str">
        <f t="shared" si="3"/>
        <v>Vapor: 510 Refill, Fresh Flavor, 1mL (400mg)</v>
      </c>
    </row>
    <row r="50">
      <c r="A50" t="str">
        <f>Products!D69</f>
        <v>1212</v>
      </c>
      <c r="B50" t="str">
        <f>Products!B69</f>
        <v>Vapor: 510 Refill, Raw Flavor, 0.5mL (200mg)</v>
      </c>
      <c r="C50" t="str">
        <f>Products!F69</f>
        <v>Vapor</v>
      </c>
      <c r="D50" t="str">
        <f t="shared" si="3"/>
        <v>Vapor: 510 Refill, Raw Flavor, 0.5mL (200mg)</v>
      </c>
    </row>
    <row r="51">
      <c r="A51" t="str">
        <f>Products!D70</f>
        <v>1211</v>
      </c>
      <c r="B51" t="str">
        <f>Products!B70</f>
        <v>Vapor: 510 Refill, Raw Flavor, 1mL (400mg)</v>
      </c>
      <c r="C51" t="str">
        <f>Products!F70</f>
        <v>Vapor</v>
      </c>
      <c r="D51" t="str">
        <f t="shared" si="3"/>
        <v>Vapor: 510 Refill, Raw Flavor, 1mL (400mg)</v>
      </c>
    </row>
    <row r="52">
      <c r="A52" t="str">
        <f>Products!D73</f>
        <v>1344</v>
      </c>
      <c r="B52" t="str">
        <f>Products!B73</f>
        <v>Vapor: Escape Pod, 2 Raw, 2-Pack</v>
      </c>
      <c r="C52" t="str">
        <f>Products!F73</f>
        <v>Vapor</v>
      </c>
      <c r="D52" t="str">
        <f t="shared" si="3"/>
        <v>Vapor: Escape Pod, 2 Raw, 2-Pack</v>
      </c>
    </row>
    <row r="53">
      <c r="A53" t="str">
        <f>Products!D74</f>
        <v>1323</v>
      </c>
      <c r="B53" t="str">
        <f>Products!B74</f>
        <v>Vapor: Escape Pod, Fresh Flavor, 1-Pack</v>
      </c>
      <c r="C53" t="str">
        <f>Products!F74</f>
        <v>Vapor</v>
      </c>
      <c r="D53" t="str">
        <f t="shared" si="3"/>
        <v>Vapor: Escape Pod, Fresh Flavor, 1-Pack</v>
      </c>
    </row>
    <row r="54">
      <c r="A54" t="str">
        <f>Products!D75</f>
        <v>1325</v>
      </c>
      <c r="B54" t="str">
        <f>Products!B75</f>
        <v>Vapor: Escape Pod, Fresh Flavor, 4-Pack</v>
      </c>
      <c r="C54" t="str">
        <f>Products!F75</f>
        <v>Vapor</v>
      </c>
      <c r="D54" t="str">
        <f t="shared" si="3"/>
        <v>Vapor: Escape Pod, Fresh Flavor, 4-Pack</v>
      </c>
    </row>
    <row r="55">
      <c r="A55" t="str">
        <f>Products!D76</f>
        <v>1313</v>
      </c>
      <c r="B55" t="str">
        <f>Products!B76</f>
        <v>Vapor: Escape Pod, Raw Flavor, 1-Pack</v>
      </c>
      <c r="C55" t="str">
        <f>Products!F76</f>
        <v>Vapor</v>
      </c>
      <c r="D55" t="str">
        <f t="shared" si="3"/>
        <v>Vapor: Escape Pod, Raw Flavor, 1-Pack</v>
      </c>
    </row>
    <row r="56">
      <c r="A56" t="str">
        <f>Products!D77</f>
        <v>1315</v>
      </c>
      <c r="B56" t="str">
        <f>Products!B77</f>
        <v>Vapor: Escape Pod, Raw Flavor, 4-Pack</v>
      </c>
      <c r="C56" t="str">
        <f>Products!F77</f>
        <v>Vapor</v>
      </c>
      <c r="D56" t="str">
        <f t="shared" si="3"/>
        <v>Vapor: Escape Pod, Raw Flavor, 4-Pack</v>
      </c>
    </row>
    <row r="57">
      <c r="A57" t="str">
        <f>Products!D78</f>
        <v>1511</v>
      </c>
      <c r="B57" t="str">
        <f>Products!B78</f>
        <v>Vapor: Hardware Only, 350mAH, button battery, The one that says "CBD"</v>
      </c>
      <c r="C57" t="str">
        <f>Products!F78</f>
        <v>Vapor</v>
      </c>
      <c r="D57" t="str">
        <f t="shared" si="3"/>
        <v>Vapor: Hardware Only, 350mAH, button battery, The one that says "CBD"</v>
      </c>
    </row>
    <row r="58">
      <c r="A58" t="str">
        <f>Products!D79</f>
        <v>1422</v>
      </c>
      <c r="B58" t="str">
        <f>Products!B79</f>
        <v>Vapor: Vape Juice, Fresh Flavor, 20% CBD (1000mg)</v>
      </c>
      <c r="C58" t="str">
        <f>Products!F79</f>
        <v>Vapor</v>
      </c>
      <c r="D58" t="str">
        <f t="shared" si="3"/>
        <v>Vapor: Vape Juice, Fresh Flavor, 20% CBD (1000mg)</v>
      </c>
    </row>
    <row r="59">
      <c r="A59" t="str">
        <f>Products!D80</f>
        <v>1421</v>
      </c>
      <c r="B59" t="str">
        <f>Products!B80</f>
        <v>Vapor: Vape Juice, Fresh Flavor, 40% CBD (2000mg)</v>
      </c>
      <c r="C59" t="str">
        <f>Products!F80</f>
        <v>Vapor</v>
      </c>
      <c r="D59" t="str">
        <f t="shared" si="3"/>
        <v>Vapor: Vape Juice, Fresh Flavor, 40% CBD (2000mg)</v>
      </c>
    </row>
    <row r="60">
      <c r="A60" t="str">
        <f>Products!D81</f>
        <v>1412</v>
      </c>
      <c r="B60" t="str">
        <f>Products!B81</f>
        <v>Vapor: Vape Juice, Raw Flavor, 20% CBD (1000mg)</v>
      </c>
      <c r="C60" t="str">
        <f>Products!F81</f>
        <v>Vapor</v>
      </c>
    </row>
    <row r="61">
      <c r="A61" t="str">
        <f>Products!D82</f>
        <v>1411</v>
      </c>
      <c r="B61" t="str">
        <f>Products!B82</f>
        <v>Vapor: Vape Juice, Raw Flavor, 40% CBD (2000mg)</v>
      </c>
      <c r="C61" t="str">
        <f>Products!F82</f>
        <v>Vapor</v>
      </c>
    </row>
    <row r="62">
      <c r="A62" t="str">
        <f>Products!D83</f>
        <v>1132</v>
      </c>
      <c r="B62" t="str">
        <f>Products!B83</f>
        <v>Vapor: Vape Pod System, 1 Raw, 1 Fresh, 2x1mL (40% CBD)</v>
      </c>
      <c r="C62" t="str">
        <f>Products!F83</f>
        <v>Vapor</v>
      </c>
    </row>
    <row r="63">
      <c r="A63" t="str">
        <f>Products!D84</f>
        <v>1121</v>
      </c>
      <c r="B63" t="str">
        <f>Products!B84</f>
        <v>Vapor: Vape Pod System, Fresh Flavor, 1mL (400mg)</v>
      </c>
      <c r="C63" t="str">
        <f>Products!F84</f>
        <v>Vapor</v>
      </c>
    </row>
    <row r="64">
      <c r="A64" t="str">
        <f>Products!D85</f>
        <v>1111</v>
      </c>
      <c r="B64" t="str">
        <f>Products!B85</f>
        <v>Vapor: Vape Pod System, Raw Flavor, 1mL (400mg)</v>
      </c>
      <c r="C64" t="str">
        <f>Products!F85</f>
        <v>Vapor</v>
      </c>
    </row>
    <row r="65">
      <c r="A65" t="str">
        <f>Products!D86</f>
        <v/>
      </c>
      <c r="B65" t="str">
        <f>Products!B86</f>
        <v/>
      </c>
      <c r="C65" t="str">
        <f>Products!F86</f>
        <v/>
      </c>
    </row>
    <row r="66">
      <c r="A66" t="str">
        <f>Products!D87</f>
        <v/>
      </c>
      <c r="B66" t="str">
        <f>Products!B87</f>
        <v/>
      </c>
      <c r="C66" t="str">
        <f>Products!F87</f>
        <v/>
      </c>
    </row>
    <row r="67">
      <c r="A67" t="str">
        <f>Products!D88</f>
        <v/>
      </c>
      <c r="B67" t="str">
        <f>Products!B88</f>
        <v/>
      </c>
      <c r="C67" t="str">
        <f>Products!F88</f>
        <v/>
      </c>
    </row>
    <row r="68">
      <c r="A68" t="str">
        <f>Products!D89</f>
        <v/>
      </c>
      <c r="B68" t="str">
        <f>Products!B89</f>
        <v/>
      </c>
      <c r="C68" t="str">
        <f>Products!F89</f>
        <v/>
      </c>
    </row>
    <row r="69">
      <c r="A69" t="str">
        <f>Products!D90</f>
        <v/>
      </c>
      <c r="B69" t="str">
        <f>Products!B90</f>
        <v/>
      </c>
      <c r="C69" t="str">
        <f>Products!F90</f>
        <v/>
      </c>
    </row>
    <row r="70">
      <c r="A70" t="str">
        <f>Products!D91</f>
        <v/>
      </c>
      <c r="B70" t="str">
        <f>Products!B91</f>
        <v/>
      </c>
      <c r="C70" t="str">
        <f>Products!F91</f>
        <v/>
      </c>
    </row>
    <row r="71">
      <c r="A71" t="str">
        <f>Products!D92</f>
        <v/>
      </c>
      <c r="B71" t="str">
        <f>Products!B92</f>
        <v/>
      </c>
      <c r="C71" t="str">
        <f>Products!F92</f>
        <v/>
      </c>
    </row>
    <row r="72">
      <c r="A72" t="str">
        <f>Products!D93</f>
        <v/>
      </c>
      <c r="B72" t="str">
        <f>Products!B93</f>
        <v/>
      </c>
      <c r="C72" t="str">
        <f>Products!F93</f>
        <v/>
      </c>
    </row>
    <row r="73">
      <c r="A73" t="str">
        <f>Products!D94</f>
        <v/>
      </c>
      <c r="B73" t="str">
        <f>Products!B94</f>
        <v/>
      </c>
      <c r="C73" t="str">
        <f>Products!F94</f>
        <v/>
      </c>
    </row>
    <row r="74">
      <c r="A74" t="str">
        <f>Products!D95</f>
        <v/>
      </c>
      <c r="B74" t="str">
        <f>Products!B95</f>
        <v/>
      </c>
      <c r="C74" t="str">
        <f>Products!F95</f>
        <v/>
      </c>
    </row>
    <row r="75">
      <c r="A75" t="str">
        <f>Products!D96</f>
        <v/>
      </c>
      <c r="B75" t="str">
        <f>Products!B96</f>
        <v/>
      </c>
      <c r="C75" t="str">
        <f>Products!F96</f>
        <v/>
      </c>
    </row>
    <row r="76">
      <c r="A76" t="str">
        <f>Products!D97</f>
        <v/>
      </c>
      <c r="B76" t="str">
        <f>Products!B97</f>
        <v/>
      </c>
      <c r="C76" t="str">
        <f>Products!F97</f>
        <v/>
      </c>
    </row>
    <row r="77">
      <c r="A77" t="str">
        <f>Products!D98</f>
        <v/>
      </c>
      <c r="B77" t="str">
        <f>Products!B98</f>
        <v/>
      </c>
      <c r="C77" t="str">
        <f>Products!F98</f>
        <v/>
      </c>
    </row>
    <row r="78">
      <c r="A78" t="str">
        <f>Products!D99</f>
        <v/>
      </c>
      <c r="B78" t="str">
        <f>Products!B99</f>
        <v/>
      </c>
      <c r="C78" t="str">
        <f>Products!F99</f>
        <v/>
      </c>
    </row>
    <row r="79">
      <c r="A79" t="str">
        <f>Products!D100</f>
        <v/>
      </c>
      <c r="B79" t="str">
        <f>Products!B100</f>
        <v/>
      </c>
      <c r="C79" t="str">
        <f>Products!F100</f>
        <v/>
      </c>
    </row>
    <row r="80">
      <c r="A80" t="str">
        <f>Products!D101</f>
        <v/>
      </c>
      <c r="B80" t="str">
        <f>Products!B101</f>
        <v/>
      </c>
      <c r="C80" t="str">
        <f>Products!F101</f>
        <v/>
      </c>
    </row>
    <row r="81">
      <c r="A81" t="str">
        <f>Products!D102</f>
        <v/>
      </c>
      <c r="B81" t="str">
        <f>Products!B102</f>
        <v/>
      </c>
      <c r="C81" t="str">
        <f>Products!F102</f>
        <v/>
      </c>
    </row>
    <row r="82">
      <c r="A82" t="str">
        <f>Products!D103</f>
        <v/>
      </c>
      <c r="B82" t="str">
        <f>Products!B103</f>
        <v/>
      </c>
      <c r="C82" t="str">
        <f>Products!F103</f>
        <v/>
      </c>
    </row>
    <row r="83">
      <c r="A83" t="str">
        <f>Products!D104</f>
        <v/>
      </c>
      <c r="B83" t="str">
        <f>Products!B104</f>
        <v/>
      </c>
      <c r="C83" t="str">
        <f>Products!F104</f>
        <v/>
      </c>
    </row>
    <row r="84">
      <c r="A84" t="str">
        <f>Products!D105</f>
        <v/>
      </c>
      <c r="B84" t="str">
        <f>Products!B105</f>
        <v/>
      </c>
      <c r="C84" t="str">
        <f>Products!F105</f>
        <v/>
      </c>
    </row>
    <row r="85">
      <c r="A85" t="str">
        <f>Products!D106</f>
        <v/>
      </c>
      <c r="B85" t="str">
        <f>Products!B106</f>
        <v/>
      </c>
      <c r="C85" t="str">
        <f>Products!F106</f>
        <v/>
      </c>
    </row>
    <row r="86">
      <c r="A86" t="str">
        <f>Products!D107</f>
        <v/>
      </c>
      <c r="B86" t="str">
        <f>Products!B107</f>
        <v/>
      </c>
      <c r="C86" t="str">
        <f>Products!F107</f>
        <v/>
      </c>
    </row>
    <row r="87">
      <c r="A87" t="str">
        <f>Products!D108</f>
        <v/>
      </c>
      <c r="B87" t="str">
        <f>Products!B108</f>
        <v/>
      </c>
      <c r="C87" t="str">
        <f>Products!F108</f>
        <v/>
      </c>
    </row>
    <row r="88">
      <c r="A88" t="str">
        <f>Products!D109</f>
        <v/>
      </c>
      <c r="B88" t="str">
        <f>Products!B109</f>
        <v/>
      </c>
      <c r="C88" t="str">
        <f>Products!F109</f>
        <v/>
      </c>
    </row>
    <row r="89">
      <c r="A89" t="str">
        <f>Products!D110</f>
        <v/>
      </c>
      <c r="B89" t="str">
        <f>Products!B110</f>
        <v/>
      </c>
      <c r="C89" t="str">
        <f>Products!F110</f>
        <v/>
      </c>
    </row>
    <row r="90">
      <c r="A90" t="str">
        <f>Products!D111</f>
        <v/>
      </c>
      <c r="B90" t="str">
        <f>Products!B111</f>
        <v/>
      </c>
      <c r="C90" t="str">
        <f>Products!F111</f>
        <v/>
      </c>
    </row>
    <row r="91">
      <c r="A91" t="str">
        <f>Products!D112</f>
        <v/>
      </c>
      <c r="B91" t="str">
        <f>Products!B112</f>
        <v/>
      </c>
      <c r="C91" t="str">
        <f>Products!F112</f>
        <v/>
      </c>
    </row>
    <row r="92">
      <c r="A92" t="str">
        <f>Products!D113</f>
        <v/>
      </c>
      <c r="B92" t="str">
        <f>Products!B113</f>
        <v/>
      </c>
      <c r="C92" t="str">
        <f>Products!F113</f>
        <v/>
      </c>
    </row>
    <row r="93">
      <c r="A93" t="str">
        <f>Products!D114</f>
        <v/>
      </c>
      <c r="B93" t="str">
        <f>Products!B114</f>
        <v/>
      </c>
    </row>
    <row r="94">
      <c r="A94" t="str">
        <f>Products!D115</f>
        <v/>
      </c>
      <c r="B94" t="str">
        <f>Products!B115</f>
        <v/>
      </c>
    </row>
    <row r="95">
      <c r="A95" t="str">
        <f>Products!D116</f>
        <v/>
      </c>
      <c r="B95" t="str">
        <f>Products!B116</f>
        <v/>
      </c>
    </row>
    <row r="96">
      <c r="A96" t="str">
        <f>Products!D117</f>
        <v/>
      </c>
      <c r="B96" t="str">
        <f>Products!B117</f>
        <v/>
      </c>
    </row>
    <row r="97">
      <c r="A97" t="str">
        <f>Products!D118</f>
        <v/>
      </c>
      <c r="B97" t="str">
        <f>Products!B118</f>
        <v/>
      </c>
    </row>
    <row r="98">
      <c r="A98" t="str">
        <f>Products!D119</f>
        <v/>
      </c>
      <c r="B98" t="str">
        <f>Products!B119</f>
        <v/>
      </c>
    </row>
    <row r="99">
      <c r="A99" t="str">
        <f>Products!D120</f>
        <v/>
      </c>
      <c r="B99" t="str">
        <f>Products!B120</f>
        <v/>
      </c>
    </row>
    <row r="100">
      <c r="A100" t="str">
        <f>Products!D121</f>
        <v/>
      </c>
      <c r="B100" t="str">
        <f>Products!B121</f>
        <v/>
      </c>
    </row>
    <row r="101">
      <c r="A101" t="str">
        <f>Products!D122</f>
        <v/>
      </c>
      <c r="B101" t="str">
        <f>Products!B122</f>
        <v/>
      </c>
    </row>
    <row r="102">
      <c r="A102" t="str">
        <f>Products!D123</f>
        <v/>
      </c>
      <c r="B102" t="str">
        <f>Products!B123</f>
        <v/>
      </c>
    </row>
    <row r="103">
      <c r="A103" t="str">
        <f>Products!D124</f>
        <v/>
      </c>
      <c r="B103" t="str">
        <f>Products!B124</f>
        <v/>
      </c>
    </row>
    <row r="104">
      <c r="A104" t="str">
        <f>Products!D125</f>
        <v/>
      </c>
      <c r="B104" t="str">
        <f>Products!B125</f>
        <v/>
      </c>
    </row>
    <row r="105">
      <c r="A105" t="str">
        <f>Products!D126</f>
        <v/>
      </c>
      <c r="B105" t="str">
        <f>Products!B126</f>
        <v/>
      </c>
    </row>
    <row r="106">
      <c r="A106" t="str">
        <f>Products!D127</f>
        <v/>
      </c>
      <c r="B106" t="str">
        <f>Products!B127</f>
        <v/>
      </c>
    </row>
    <row r="107">
      <c r="A107" t="str">
        <f>Products!D128</f>
        <v/>
      </c>
      <c r="B107" t="str">
        <f>Products!B128</f>
        <v/>
      </c>
    </row>
    <row r="108">
      <c r="A108" t="str">
        <f>Products!D129</f>
        <v/>
      </c>
      <c r="B108" t="str">
        <f>Products!B129</f>
        <v/>
      </c>
    </row>
    <row r="109">
      <c r="A109" t="str">
        <f>Products!D130</f>
        <v/>
      </c>
      <c r="B109" t="str">
        <f>Products!B130</f>
        <v/>
      </c>
    </row>
    <row r="110">
      <c r="A110" t="str">
        <f>Products!D131</f>
        <v/>
      </c>
      <c r="B110" t="str">
        <f>Products!B131</f>
        <v/>
      </c>
    </row>
    <row r="111">
      <c r="A111" t="str">
        <f>Products!D132</f>
        <v/>
      </c>
      <c r="B111" t="str">
        <f>Products!B132</f>
        <v/>
      </c>
    </row>
    <row r="112">
      <c r="A112" t="str">
        <f>Products!D133</f>
        <v/>
      </c>
      <c r="B112" t="str">
        <f>Products!B133</f>
        <v/>
      </c>
    </row>
    <row r="113">
      <c r="A113" t="str">
        <f>Products!D134</f>
        <v/>
      </c>
      <c r="B113" t="str">
        <f>Products!B134</f>
        <v/>
      </c>
    </row>
    <row r="114">
      <c r="A114" t="str">
        <f>Products!D135</f>
        <v/>
      </c>
      <c r="B114" t="str">
        <f>Products!B135</f>
        <v/>
      </c>
    </row>
    <row r="115">
      <c r="A115" t="str">
        <f>Products!D136</f>
        <v/>
      </c>
      <c r="B115" t="str">
        <f>Products!B136</f>
        <v/>
      </c>
    </row>
    <row r="116">
      <c r="A116" t="str">
        <f>Products!D137</f>
        <v/>
      </c>
      <c r="B116" t="str">
        <f>Products!B137</f>
        <v/>
      </c>
    </row>
    <row r="117">
      <c r="A117" t="str">
        <f>Products!D138</f>
        <v/>
      </c>
      <c r="B117" t="str">
        <f>Products!B138</f>
        <v/>
      </c>
    </row>
    <row r="118">
      <c r="A118" t="str">
        <f>Products!D139</f>
        <v/>
      </c>
      <c r="B118" t="str">
        <f>Products!B139</f>
        <v/>
      </c>
    </row>
    <row r="119">
      <c r="A119" t="str">
        <f>Products!D140</f>
        <v/>
      </c>
      <c r="B119" t="str">
        <f>Products!B140</f>
        <v/>
      </c>
    </row>
    <row r="120">
      <c r="A120" t="str">
        <f>Products!D141</f>
        <v/>
      </c>
      <c r="B120" t="str">
        <f>Products!B141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13"/>
    <col customWidth="1" min="2" max="2" width="6.88"/>
    <col customWidth="1" min="3" max="3" width="6.13"/>
    <col customWidth="1" min="4" max="4" width="47.25"/>
    <col customWidth="1" min="5" max="5" width="7.63"/>
  </cols>
  <sheetData>
    <row r="1">
      <c r="A1" s="7" t="s">
        <v>59</v>
      </c>
      <c r="B1" s="3" t="s">
        <v>9</v>
      </c>
      <c r="C1" s="1" t="s">
        <v>63</v>
      </c>
      <c r="D1" s="3" t="s">
        <v>14</v>
      </c>
      <c r="E1" s="3" t="s">
        <v>18</v>
      </c>
    </row>
    <row r="2">
      <c r="A2" s="8" t="s">
        <v>65</v>
      </c>
      <c r="B2" s="1">
        <v>1111.0</v>
      </c>
      <c r="C2" t="str">
        <f t="shared" ref="C2:C5" si="1">TEXT(B2, "0")</f>
        <v>1111</v>
      </c>
      <c r="D2" t="str">
        <f>VLOOKUP(C2, 'SKU-Product List'!$A$2:$C$420, 2, FALSE)</f>
        <v>Vapor: Vape Pod System, Raw Flavor, 1mL (400mg)</v>
      </c>
      <c r="E2" t="str">
        <f>VLOOKUP(C2, 'SKU-Product List'!$A$2:$C$420, 3, FALSE)</f>
        <v>Vapor</v>
      </c>
    </row>
    <row r="3">
      <c r="A3" s="8" t="s">
        <v>81</v>
      </c>
      <c r="B3" s="1">
        <v>1211.0</v>
      </c>
      <c r="C3" t="str">
        <f t="shared" si="1"/>
        <v>1211</v>
      </c>
      <c r="D3" t="str">
        <f>VLOOKUP(C3, 'SKU-Product List'!$A$2:$C$420, 2, FALSE)</f>
        <v>Vapor: 510 Refill, Raw Flavor, 1mL (400mg)</v>
      </c>
      <c r="E3" t="str">
        <f>VLOOKUP(C3, 'SKU-Product List'!$A$2:$C$420, 3, FALSE)</f>
        <v>Vapor</v>
      </c>
    </row>
    <row r="4">
      <c r="A4" s="8" t="s">
        <v>84</v>
      </c>
      <c r="B4" s="1">
        <v>1221.0</v>
      </c>
      <c r="C4" t="str">
        <f t="shared" si="1"/>
        <v>1221</v>
      </c>
      <c r="D4" t="str">
        <f>VLOOKUP(C4, 'SKU-Product List'!$A$2:$C$420, 2, FALSE)</f>
        <v>Vapor: 510 Refill, Fresh Flavor, 1mL (400mg)</v>
      </c>
      <c r="E4" t="str">
        <f>VLOOKUP(C4, 'SKU-Product List'!$A$2:$C$420, 3, FALSE)</f>
        <v>Vapor</v>
      </c>
    </row>
    <row r="5">
      <c r="A5" s="8" t="s">
        <v>92</v>
      </c>
      <c r="B5" s="1">
        <v>1111.0</v>
      </c>
      <c r="C5" t="str">
        <f t="shared" si="1"/>
        <v>1111</v>
      </c>
      <c r="D5" t="str">
        <f>VLOOKUP(C5, 'SKU-Product List'!$A$2:$C$420, 2, FALSE)</f>
        <v>Vapor: Vape Pod System, Raw Flavor, 1mL (400mg)</v>
      </c>
      <c r="E5" t="str">
        <f>VLOOKUP(C5, 'SKU-Product List'!$A$2:$C$420, 3, FALSE)</f>
        <v>Vapor</v>
      </c>
    </row>
    <row r="6">
      <c r="A6" s="8" t="s">
        <v>101</v>
      </c>
      <c r="B6" s="1">
        <v>10.0</v>
      </c>
      <c r="C6" t="str">
        <f>"0010"</f>
        <v>0010</v>
      </c>
      <c r="D6" t="str">
        <f>VLOOKUP(C6, 'SKU-Product List'!$A$2:$C$420, 2, FALSE)</f>
        <v>#N/A</v>
      </c>
      <c r="E6" t="str">
        <f>VLOOKUP(C6, 'SKU-Product List'!$A$2:$C$420, 3, FALSE)</f>
        <v>#N/A</v>
      </c>
    </row>
    <row r="7">
      <c r="A7" s="8" t="s">
        <v>109</v>
      </c>
      <c r="B7" s="1">
        <v>3114.0</v>
      </c>
      <c r="C7" t="str">
        <f t="shared" ref="C7:C11" si="2">TEXT(B7, "0")</f>
        <v>3114</v>
      </c>
      <c r="D7" t="str">
        <f>VLOOKUP(C7, 'SKU-Product List'!$A$2:$C$420, 2, FALSE)</f>
        <v>Edible: Hemp Honey Sticks, Original Formula, 100 Pack</v>
      </c>
      <c r="E7" t="str">
        <f>VLOOKUP(C7, 'SKU-Product List'!$A$2:$C$420, 3, FALSE)</f>
        <v>Edible</v>
      </c>
    </row>
    <row r="8">
      <c r="A8" s="8" t="s">
        <v>115</v>
      </c>
      <c r="B8" s="1">
        <v>2202.0</v>
      </c>
      <c r="C8" t="str">
        <f t="shared" si="2"/>
        <v>2202</v>
      </c>
      <c r="D8" t="str">
        <f>VLOOKUP(C8, 'SKU-Product List'!$A$2:$C$420, 2, FALSE)</f>
        <v>#N/A</v>
      </c>
      <c r="E8" t="str">
        <f>VLOOKUP(C8, 'SKU-Product List'!$A$2:$C$420, 3, FALSE)</f>
        <v>#N/A</v>
      </c>
    </row>
    <row r="9">
      <c r="A9" s="8" t="s">
        <v>122</v>
      </c>
      <c r="B9" s="1">
        <v>2201.0</v>
      </c>
      <c r="C9" t="str">
        <f t="shared" si="2"/>
        <v>2201</v>
      </c>
      <c r="D9" t="str">
        <f>VLOOKUP(C9, 'SKU-Product List'!$A$2:$C$420, 2, FALSE)</f>
        <v>Tincture: Advanced Formula, No Additives, 1oz (30mL)</v>
      </c>
      <c r="E9" t="str">
        <f>VLOOKUP(C9, 'SKU-Product List'!$A$2:$C$420, 3, FALSE)</f>
        <v>Tincture</v>
      </c>
    </row>
    <row r="10">
      <c r="A10" s="8" t="s">
        <v>125</v>
      </c>
      <c r="B10" s="1">
        <v>2102.0</v>
      </c>
      <c r="C10" t="str">
        <f t="shared" si="2"/>
        <v>2102</v>
      </c>
      <c r="D10" t="str">
        <f>VLOOKUP(C10, 'SKU-Product List'!$A$2:$C$420, 2, FALSE)</f>
        <v>Tincture: Original Formula, No Additives, 2oz (60mL)</v>
      </c>
      <c r="E10" t="str">
        <f>VLOOKUP(C10, 'SKU-Product List'!$A$2:$C$420, 3, FALSE)</f>
        <v>Tincture</v>
      </c>
    </row>
    <row r="11">
      <c r="A11" s="8" t="s">
        <v>131</v>
      </c>
      <c r="B11" s="1">
        <v>2101.0</v>
      </c>
      <c r="C11" t="str">
        <f t="shared" si="2"/>
        <v>2101</v>
      </c>
      <c r="D11" t="str">
        <f>VLOOKUP(C11, 'SKU-Product List'!$A$2:$C$420, 2, FALSE)</f>
        <v>Tincture: Original Formula, No Additives, 1oz (30mL)</v>
      </c>
      <c r="E11" t="str">
        <f>VLOOKUP(C11, 'SKU-Product List'!$A$2:$C$420, 3, FALSE)</f>
        <v>Tincture</v>
      </c>
    </row>
    <row r="12">
      <c r="A12" s="8" t="s">
        <v>136</v>
      </c>
      <c r="B12" s="1">
        <v>11.0</v>
      </c>
      <c r="C12" t="str">
        <f>"0011"</f>
        <v>0011</v>
      </c>
      <c r="D12" t="str">
        <f>VLOOKUP(C12, 'SKU-Product List'!$A$2:$C$420, 2, FALSE)</f>
        <v>Other: Transaction Costs, Shipping, UPS</v>
      </c>
      <c r="E12" t="str">
        <f>VLOOKUP(C12, 'SKU-Product List'!$A$2:$C$420, 3, FALSE)</f>
        <v>Other</v>
      </c>
    </row>
    <row r="13">
      <c r="A13" s="8" t="s">
        <v>147</v>
      </c>
      <c r="B13" s="1">
        <v>1411.0</v>
      </c>
      <c r="C13" t="str">
        <f t="shared" ref="C13:C14" si="3">TEXT(B13, "0")</f>
        <v>1411</v>
      </c>
      <c r="D13" t="str">
        <f>VLOOKUP(C13, 'SKU-Product List'!$A$2:$C$420, 2, FALSE)</f>
        <v>Vapor: Vape Juice, Raw Flavor, 40% CBD (2000mg)</v>
      </c>
      <c r="E13" t="str">
        <f>VLOOKUP(C13, 'SKU-Product List'!$A$2:$C$420, 3, FALSE)</f>
        <v>Vapor</v>
      </c>
    </row>
    <row r="14">
      <c r="A14" s="8" t="s">
        <v>152</v>
      </c>
      <c r="B14" s="1">
        <v>1421.0</v>
      </c>
      <c r="C14" t="str">
        <f t="shared" si="3"/>
        <v>1421</v>
      </c>
      <c r="D14" t="str">
        <f>VLOOKUP(C14, 'SKU-Product List'!$A$2:$C$420, 2, FALSE)</f>
        <v>Vapor: Vape Juice, Fresh Flavor, 40% CBD (2000mg)</v>
      </c>
      <c r="E14" t="str">
        <f>VLOOKUP(C14, 'SKU-Product List'!$A$2:$C$420, 3, FALSE)</f>
        <v>Vapor</v>
      </c>
    </row>
    <row r="15">
      <c r="A15" s="8" t="s">
        <v>158</v>
      </c>
      <c r="B15" s="1">
        <v>20.0</v>
      </c>
      <c r="C15" t="str">
        <f>"0020"</f>
        <v>0020</v>
      </c>
      <c r="D15" t="str">
        <f>VLOOKUP(C15, 'SKU-Product List'!$A$2:$C$420, 2, FALSE)</f>
        <v>Other: Transaction Costs, Payment Processing Fee, Credit Card</v>
      </c>
      <c r="E15" t="str">
        <f>VLOOKUP(C15, 'SKU-Product List'!$A$2:$C$420, 3, FALSE)</f>
        <v>Other</v>
      </c>
    </row>
    <row r="16">
      <c r="A16" s="8" t="s">
        <v>163</v>
      </c>
      <c r="B16" s="1">
        <v>2201.0</v>
      </c>
      <c r="C16" t="str">
        <f t="shared" ref="C16:C24" si="4">TEXT(B16, "0")</f>
        <v>2201</v>
      </c>
      <c r="D16" t="str">
        <f>VLOOKUP(C16, 'SKU-Product List'!$A$2:$C$420, 2, FALSE)</f>
        <v>Tincture: Advanced Formula, No Additives, 1oz (30mL)</v>
      </c>
      <c r="E16" t="str">
        <f>VLOOKUP(C16, 'SKU-Product List'!$A$2:$C$420, 3, FALSE)</f>
        <v>Tincture</v>
      </c>
    </row>
    <row r="17">
      <c r="A17" s="8" t="s">
        <v>173</v>
      </c>
      <c r="B17" s="1">
        <v>2103.0</v>
      </c>
      <c r="C17" t="str">
        <f t="shared" si="4"/>
        <v>2103</v>
      </c>
      <c r="D17" t="str">
        <f>VLOOKUP(C17, 'SKU-Product List'!$A$2:$C$420, 2, FALSE)</f>
        <v>Tincture: Original Formula, No Additives, 1/2oz (15mL)</v>
      </c>
      <c r="E17" t="str">
        <f>VLOOKUP(C17, 'SKU-Product List'!$A$2:$C$420, 3, FALSE)</f>
        <v>Tincture</v>
      </c>
    </row>
    <row r="18">
      <c r="A18" s="8" t="s">
        <v>179</v>
      </c>
      <c r="B18" s="1">
        <v>5211.0</v>
      </c>
      <c r="C18" t="str">
        <f t="shared" si="4"/>
        <v>5211</v>
      </c>
      <c r="D18" t="str">
        <f>VLOOKUP(C18, 'SKU-Product List'!$A$2:$C$420, 2, FALSE)</f>
        <v>Special: Retail Displays, Trifold Brochure
Holder, Default</v>
      </c>
      <c r="E18" t="str">
        <f>VLOOKUP(C18, 'SKU-Product List'!$A$2:$C$420, 3, FALSE)</f>
        <v>Special</v>
      </c>
    </row>
    <row r="19">
      <c r="A19" s="8" t="s">
        <v>183</v>
      </c>
      <c r="B19" s="1">
        <v>1315.0</v>
      </c>
      <c r="C19" t="str">
        <f t="shared" si="4"/>
        <v>1315</v>
      </c>
      <c r="D19" t="str">
        <f>VLOOKUP(C19, 'SKU-Product List'!$A$2:$C$420, 2, FALSE)</f>
        <v>Vapor: Escape Pod, Raw Flavor, 4-Pack</v>
      </c>
      <c r="E19" t="str">
        <f>VLOOKUP(C19, 'SKU-Product List'!$A$2:$C$420, 3, FALSE)</f>
        <v>Vapor</v>
      </c>
    </row>
    <row r="20">
      <c r="A20" s="8" t="s">
        <v>187</v>
      </c>
      <c r="B20" s="1">
        <v>1323.0</v>
      </c>
      <c r="C20" t="str">
        <f t="shared" si="4"/>
        <v>1323</v>
      </c>
      <c r="D20" t="str">
        <f>VLOOKUP(C20, 'SKU-Product List'!$A$2:$C$420, 2, FALSE)</f>
        <v>Vapor: Escape Pod, Fresh Flavor, 1-Pack</v>
      </c>
      <c r="E20" t="str">
        <f>VLOOKUP(C20, 'SKU-Product List'!$A$2:$C$420, 3, FALSE)</f>
        <v>Vapor</v>
      </c>
    </row>
    <row r="21">
      <c r="A21" s="8" t="s">
        <v>193</v>
      </c>
      <c r="B21" s="1">
        <v>1313.0</v>
      </c>
      <c r="C21" t="str">
        <f t="shared" si="4"/>
        <v>1313</v>
      </c>
      <c r="D21" t="str">
        <f>VLOOKUP(C21, 'SKU-Product List'!$A$2:$C$420, 2, FALSE)</f>
        <v>Vapor: Escape Pod, Raw Flavor, 1-Pack</v>
      </c>
      <c r="E21" t="str">
        <f>VLOOKUP(C21, 'SKU-Product List'!$A$2:$C$420, 3, FALSE)</f>
        <v>Vapor</v>
      </c>
    </row>
    <row r="22">
      <c r="A22" s="8" t="s">
        <v>200</v>
      </c>
      <c r="B22" s="1">
        <v>6231.0</v>
      </c>
      <c r="C22" t="str">
        <f t="shared" si="4"/>
        <v>6231</v>
      </c>
      <c r="D22" t="str">
        <f>VLOOKUP(C22, 'SKU-Product List'!$A$2:$C$420, 2, FALSE)</f>
        <v>Topical: Lotion, Original Formula, Individual (0.5oz bar)</v>
      </c>
      <c r="E22" t="str">
        <f>VLOOKUP(C22, 'SKU-Product List'!$A$2:$C$420, 3, FALSE)</f>
        <v>Topical</v>
      </c>
    </row>
    <row r="23">
      <c r="A23" s="8" t="s">
        <v>204</v>
      </c>
      <c r="B23" s="1">
        <v>3112.0</v>
      </c>
      <c r="C23" t="str">
        <f t="shared" si="4"/>
        <v>3112</v>
      </c>
      <c r="D23" t="str">
        <f>VLOOKUP(C23, 'SKU-Product List'!$A$2:$C$420, 2, FALSE)</f>
        <v>Edible: Hemp Honey Sticks, Original Formula, 20 Pack</v>
      </c>
      <c r="E23" t="str">
        <f>VLOOKUP(C23, 'SKU-Product List'!$A$2:$C$420, 3, FALSE)</f>
        <v>Edible</v>
      </c>
    </row>
    <row r="24">
      <c r="A24" s="8" t="s">
        <v>210</v>
      </c>
      <c r="B24" s="1">
        <v>6131.0</v>
      </c>
      <c r="C24" t="str">
        <f t="shared" si="4"/>
        <v>6131</v>
      </c>
      <c r="D24" t="str">
        <f>VLOOKUP(C24, 'SKU-Product List'!$A$2:$C$420, 2, FALSE)</f>
        <v>Topical: Balm, Original Formula, Individual (0.15oz tube)</v>
      </c>
      <c r="E24" t="str">
        <f>VLOOKUP(C24, 'SKU-Product List'!$A$2:$C$420, 3, FALSE)</f>
        <v>Topical</v>
      </c>
    </row>
    <row r="25">
      <c r="A25" s="8" t="s">
        <v>216</v>
      </c>
      <c r="B25" s="1">
        <v>12.0</v>
      </c>
      <c r="C25" t="str">
        <f>"0012"</f>
        <v>0012</v>
      </c>
      <c r="D25" t="str">
        <f>VLOOKUP(C25, 'SKU-Product List'!$A$2:$C$420, 2, FALSE)</f>
        <v>Other: Transaction Costs, Shipping, Overnight</v>
      </c>
      <c r="E25" t="str">
        <f>VLOOKUP(C25, 'SKU-Product List'!$A$2:$C$420, 3, FALSE)</f>
        <v>Other</v>
      </c>
    </row>
    <row r="26">
      <c r="A26" s="8" t="s">
        <v>220</v>
      </c>
      <c r="B26" s="1">
        <v>1325.0</v>
      </c>
      <c r="C26" t="str">
        <f t="shared" ref="C26:C42" si="5">TEXT(B26, "0")</f>
        <v>1325</v>
      </c>
      <c r="D26" t="str">
        <f>VLOOKUP(C26, 'SKU-Product List'!$A$2:$C$420, 2, FALSE)</f>
        <v>Vapor: Escape Pod, Fresh Flavor, 4-Pack</v>
      </c>
      <c r="E26" t="str">
        <f>VLOOKUP(C26, 'SKU-Product List'!$A$2:$C$420, 3, FALSE)</f>
        <v>Vapor</v>
      </c>
    </row>
    <row r="27">
      <c r="A27" s="8" t="s">
        <v>225</v>
      </c>
      <c r="B27" s="1">
        <v>1315.0</v>
      </c>
      <c r="C27" t="str">
        <f t="shared" si="5"/>
        <v>1315</v>
      </c>
      <c r="D27" t="str">
        <f>VLOOKUP(C27, 'SKU-Product List'!$A$2:$C$420, 2, FALSE)</f>
        <v>Vapor: Escape Pod, Raw Flavor, 4-Pack</v>
      </c>
      <c r="E27" t="str">
        <f>VLOOKUP(C27, 'SKU-Product List'!$A$2:$C$420, 3, FALSE)</f>
        <v>Vapor</v>
      </c>
    </row>
    <row r="28">
      <c r="A28" s="8" t="s">
        <v>231</v>
      </c>
      <c r="B28" s="1">
        <v>5221.0</v>
      </c>
      <c r="C28" t="str">
        <f t="shared" si="5"/>
        <v>5221</v>
      </c>
      <c r="D28" t="str">
        <f>VLOOKUP(C28, 'SKU-Product List'!$A$2:$C$420, 2, FALSE)</f>
        <v>Special: Retail Displays, Three-Tier Plexi-
Glass Display
Case, Default</v>
      </c>
      <c r="E28" t="str">
        <f>VLOOKUP(C28, 'SKU-Product List'!$A$2:$C$420, 3, FALSE)</f>
        <v>Special</v>
      </c>
    </row>
    <row r="29">
      <c r="A29" s="8" t="s">
        <v>243</v>
      </c>
      <c r="B29" s="1">
        <v>1511.0</v>
      </c>
      <c r="C29" t="str">
        <f t="shared" si="5"/>
        <v>1511</v>
      </c>
      <c r="D29" t="str">
        <f>VLOOKUP(C29, 'SKU-Product List'!$A$2:$C$420, 2, FALSE)</f>
        <v>Vapor: Hardware Only, 350mAH, button battery, The one that says "CBD"</v>
      </c>
      <c r="E29" t="str">
        <f>VLOOKUP(C29, 'SKU-Product List'!$A$2:$C$420, 3, FALSE)</f>
        <v>Vapor</v>
      </c>
    </row>
    <row r="30">
      <c r="A30" s="8" t="s">
        <v>254</v>
      </c>
      <c r="B30" s="1">
        <v>3112.0</v>
      </c>
      <c r="C30" t="str">
        <f t="shared" si="5"/>
        <v>3112</v>
      </c>
      <c r="D30" t="str">
        <f>VLOOKUP(C30, 'SKU-Product List'!$A$2:$C$420, 2, FALSE)</f>
        <v>Edible: Hemp Honey Sticks, Original Formula, 20 Pack</v>
      </c>
      <c r="E30" t="str">
        <f>VLOOKUP(C30, 'SKU-Product List'!$A$2:$C$420, 3, FALSE)</f>
        <v>Edible</v>
      </c>
    </row>
    <row r="31">
      <c r="A31" s="8" t="s">
        <v>259</v>
      </c>
      <c r="B31" s="1">
        <v>1511.0</v>
      </c>
      <c r="C31" t="str">
        <f t="shared" si="5"/>
        <v>1511</v>
      </c>
      <c r="D31" t="str">
        <f>VLOOKUP(C31, 'SKU-Product List'!$A$2:$C$420, 2, FALSE)</f>
        <v>Vapor: Hardware Only, 350mAH, button battery, The one that says "CBD"</v>
      </c>
      <c r="E31" t="str">
        <f>VLOOKUP(C31, 'SKU-Product List'!$A$2:$C$420, 3, FALSE)</f>
        <v>Vapor</v>
      </c>
    </row>
    <row r="32">
      <c r="A32" s="8" t="s">
        <v>264</v>
      </c>
      <c r="B32" s="1">
        <v>5311.0</v>
      </c>
      <c r="C32" t="str">
        <f t="shared" si="5"/>
        <v>5311</v>
      </c>
      <c r="D32" t="str">
        <f>VLOOKUP(C32, 'SKU-Product List'!$A$2:$C$420, 2, FALSE)</f>
        <v>Special: Apparel, T-Shirts, Original NSB Shirt</v>
      </c>
      <c r="E32" t="str">
        <f>VLOOKUP(C32, 'SKU-Product List'!$A$2:$C$420, 3, FALSE)</f>
        <v>Special</v>
      </c>
    </row>
    <row r="33">
      <c r="A33" s="8" t="s">
        <v>268</v>
      </c>
      <c r="B33" s="1">
        <v>5121.0</v>
      </c>
      <c r="C33" t="str">
        <f t="shared" si="5"/>
        <v>5121</v>
      </c>
      <c r="D33" t="str">
        <f>VLOOKUP(C33, 'SKU-Product List'!$A$2:$C$420, 2, FALSE)</f>
        <v>#N/A</v>
      </c>
      <c r="E33" t="str">
        <f>VLOOKUP(C33, 'SKU-Product List'!$A$2:$C$420, 3, FALSE)</f>
        <v>#N/A</v>
      </c>
    </row>
    <row r="34">
      <c r="A34" s="8" t="s">
        <v>273</v>
      </c>
      <c r="B34" s="1">
        <v>1422.0</v>
      </c>
      <c r="C34" t="str">
        <f t="shared" si="5"/>
        <v>1422</v>
      </c>
      <c r="D34" t="str">
        <f>VLOOKUP(C34, 'SKU-Product List'!$A$2:$C$420, 2, FALSE)</f>
        <v>Vapor: Vape Juice, Fresh Flavor, 20% CBD (1000mg)</v>
      </c>
      <c r="E34" t="str">
        <f>VLOOKUP(C34, 'SKU-Product List'!$A$2:$C$420, 3, FALSE)</f>
        <v>Vapor</v>
      </c>
    </row>
    <row r="35">
      <c r="A35" s="8" t="s">
        <v>276</v>
      </c>
      <c r="B35" s="1">
        <v>1111.0</v>
      </c>
      <c r="C35" t="str">
        <f t="shared" si="5"/>
        <v>1111</v>
      </c>
      <c r="D35" t="str">
        <f>VLOOKUP(C35, 'SKU-Product List'!$A$2:$C$420, 2, FALSE)</f>
        <v>Vapor: Vape Pod System, Raw Flavor, 1mL (400mg)</v>
      </c>
      <c r="E35" t="str">
        <f>VLOOKUP(C35, 'SKU-Product List'!$A$2:$C$420, 3, FALSE)</f>
        <v>Vapor</v>
      </c>
    </row>
    <row r="36">
      <c r="A36" s="8" t="s">
        <v>281</v>
      </c>
      <c r="B36" s="1">
        <v>1121.0</v>
      </c>
      <c r="C36" t="str">
        <f t="shared" si="5"/>
        <v>1121</v>
      </c>
      <c r="D36" t="str">
        <f>VLOOKUP(C36, 'SKU-Product List'!$A$2:$C$420, 2, FALSE)</f>
        <v>Vapor: Vape Pod System, Fresh Flavor, 1mL (400mg)</v>
      </c>
      <c r="E36" t="str">
        <f>VLOOKUP(C36, 'SKU-Product List'!$A$2:$C$420, 3, FALSE)</f>
        <v>Vapor</v>
      </c>
    </row>
    <row r="37">
      <c r="A37" s="8" t="s">
        <v>289</v>
      </c>
      <c r="B37" s="1">
        <v>5122.0</v>
      </c>
      <c r="C37" t="str">
        <f t="shared" si="5"/>
        <v>5122</v>
      </c>
      <c r="D37" t="str">
        <f>VLOOKUP(C37, 'SKU-Product List'!$A$2:$C$420, 2, FALSE)</f>
        <v>#N/A</v>
      </c>
      <c r="E37" t="str">
        <f>VLOOKUP(C37, 'SKU-Product List'!$A$2:$C$420, 3, FALSE)</f>
        <v>#N/A</v>
      </c>
    </row>
    <row r="38">
      <c r="A38" s="8" t="s">
        <v>294</v>
      </c>
      <c r="B38" s="1">
        <v>1511.0</v>
      </c>
      <c r="C38" t="str">
        <f t="shared" si="5"/>
        <v>1511</v>
      </c>
      <c r="D38" t="str">
        <f>VLOOKUP(C38, 'SKU-Product List'!$A$2:$C$420, 2, FALSE)</f>
        <v>Vapor: Hardware Only, 350mAH, button battery, The one that says "CBD"</v>
      </c>
      <c r="E38" t="str">
        <f>VLOOKUP(C38, 'SKU-Product List'!$A$2:$C$420, 3, FALSE)</f>
        <v>Vapor</v>
      </c>
    </row>
    <row r="39">
      <c r="A39" s="8" t="s">
        <v>301</v>
      </c>
      <c r="B39" s="1">
        <v>1412.0</v>
      </c>
      <c r="C39" t="str">
        <f t="shared" si="5"/>
        <v>1412</v>
      </c>
      <c r="D39" t="str">
        <f>VLOOKUP(C39, 'SKU-Product List'!$A$2:$C$420, 2, FALSE)</f>
        <v>Vapor: Vape Juice, Raw Flavor, 20% CBD (1000mg)</v>
      </c>
      <c r="E39" t="str">
        <f>VLOOKUP(C39, 'SKU-Product List'!$A$2:$C$420, 3, FALSE)</f>
        <v>Vapor</v>
      </c>
    </row>
    <row r="40">
      <c r="A40" s="8" t="s">
        <v>302</v>
      </c>
      <c r="B40" s="1">
        <v>1121.0</v>
      </c>
      <c r="C40" t="str">
        <f t="shared" si="5"/>
        <v>1121</v>
      </c>
      <c r="D40" t="str">
        <f>VLOOKUP(C40, 'SKU-Product List'!$A$2:$C$420, 2, FALSE)</f>
        <v>Vapor: Vape Pod System, Fresh Flavor, 1mL (400mg)</v>
      </c>
      <c r="E40" t="str">
        <f>VLOOKUP(C40, 'SKU-Product List'!$A$2:$C$420, 3, FALSE)</f>
        <v>Vapor</v>
      </c>
    </row>
    <row r="41">
      <c r="A41" s="8" t="s">
        <v>303</v>
      </c>
      <c r="B41" s="1">
        <v>1111.0</v>
      </c>
      <c r="C41" t="str">
        <f t="shared" si="5"/>
        <v>1111</v>
      </c>
      <c r="D41" t="str">
        <f>VLOOKUP(C41, 'SKU-Product List'!$A$2:$C$420, 2, FALSE)</f>
        <v>Vapor: Vape Pod System, Raw Flavor, 1mL (400mg)</v>
      </c>
      <c r="E41" t="str">
        <f>VLOOKUP(C41, 'SKU-Product List'!$A$2:$C$420, 3, FALSE)</f>
        <v>Vapor</v>
      </c>
    </row>
    <row r="42">
      <c r="A42" s="8" t="s">
        <v>304</v>
      </c>
      <c r="B42" s="1">
        <v>6221.0</v>
      </c>
      <c r="C42" t="str">
        <f t="shared" si="5"/>
        <v>6221</v>
      </c>
      <c r="D42" t="str">
        <f>VLOOKUP(C42, 'SKU-Product List'!$A$2:$C$420, 2, FALSE)</f>
        <v>#N/A</v>
      </c>
      <c r="E42" t="str">
        <f>VLOOKUP(C42, 'SKU-Product List'!$A$2:$C$420, 3, FALSE)</f>
        <v>#N/A</v>
      </c>
    </row>
    <row r="43">
      <c r="A43" s="8" t="s">
        <v>305</v>
      </c>
      <c r="C43" t="str">
        <f>"0010"</f>
        <v>0010</v>
      </c>
      <c r="D43" t="str">
        <f>VLOOKUP(C43, 'SKU-Product List'!$A$2:$C$420, 2, FALSE)</f>
        <v>#N/A</v>
      </c>
      <c r="E43" t="str">
        <f>VLOOKUP(C43, 'SKU-Product List'!$A$2:$C$420, 3, FALSE)</f>
        <v>#N/A</v>
      </c>
    </row>
    <row r="44">
      <c r="A44" s="8" t="s">
        <v>306</v>
      </c>
      <c r="B44" s="1">
        <v>7211.0</v>
      </c>
      <c r="C44" t="str">
        <f>TEXT(B44, "0")</f>
        <v>7211</v>
      </c>
      <c r="D44" t="str">
        <f>VLOOKUP(C44, 'SKU-Product List'!$A$2:$C$420, 2, FALSE)</f>
        <v>#N/A</v>
      </c>
      <c r="E44" t="str">
        <f>VLOOKUP(C44, 'SKU-Product List'!$A$2:$C$420, 3, FALSE)</f>
        <v>#N/A</v>
      </c>
    </row>
    <row r="45">
      <c r="A45" s="8" t="s">
        <v>307</v>
      </c>
      <c r="C45" s="1" t="str">
        <f>"0011"</f>
        <v>0011</v>
      </c>
      <c r="D45" t="str">
        <f>VLOOKUP(C45, 'SKU-Product List'!$A$2:$C$420, 2, FALSE)</f>
        <v>Other: Transaction Costs, Shipping, UPS</v>
      </c>
      <c r="E45" t="str">
        <f>VLOOKUP(C45, 'SKU-Product List'!$A$2:$C$420, 3, FALSE)</f>
        <v>Other</v>
      </c>
    </row>
    <row r="46">
      <c r="A46" s="8" t="s">
        <v>308</v>
      </c>
      <c r="C46" t="str">
        <f>"0012"</f>
        <v>0012</v>
      </c>
      <c r="D46" t="str">
        <f>VLOOKUP(C46, 'SKU-Product List'!$A$2:$C$420, 2, FALSE)</f>
        <v>Other: Transaction Costs, Shipping, Overnight</v>
      </c>
      <c r="E46" t="str">
        <f>VLOOKUP(C46, 'SKU-Product List'!$A$2:$C$420, 3, FALSE)</f>
        <v>Other</v>
      </c>
    </row>
    <row r="47">
      <c r="A47" s="8" t="s">
        <v>309</v>
      </c>
      <c r="C47" t="str">
        <f>"0011"</f>
        <v>0011</v>
      </c>
      <c r="D47" t="str">
        <f>VLOOKUP(C47, 'SKU-Product List'!$A$2:$C$420, 2, FALSE)</f>
        <v>Other: Transaction Costs, Shipping, UPS</v>
      </c>
      <c r="E47" t="str">
        <f>VLOOKUP(C47, 'SKU-Product List'!$A$2:$C$420, 3, FALSE)</f>
        <v>Other</v>
      </c>
    </row>
    <row r="48">
      <c r="A48" s="8" t="s">
        <v>310</v>
      </c>
      <c r="B48" s="1">
        <v>3214.0</v>
      </c>
      <c r="C48" t="str">
        <f>TEXT(B48, "0")</f>
        <v>3214</v>
      </c>
      <c r="D48" t="str">
        <f>VLOOKUP(C48, 'SKU-Product List'!$A$2:$C$420, 2, FALSE)</f>
        <v>Edible: Saltwater Taffy, 1.5g extract per lb, 5g
taffy with caramel 
flavoring, 50 Pack</v>
      </c>
      <c r="E48" t="str">
        <f>VLOOKUP(C48, 'SKU-Product List'!$A$2:$C$420, 3, FALSE)</f>
        <v>Edible</v>
      </c>
    </row>
    <row r="49">
      <c r="A49" s="8" t="s">
        <v>311</v>
      </c>
      <c r="C49" t="str">
        <f t="shared" ref="C49:C50" si="6">"0112"</f>
        <v>0112</v>
      </c>
      <c r="D49" t="str">
        <f>VLOOKUP(C49, 'SKU-Product List'!$A$2:$C$420, 2, FALSE)</f>
        <v>Other: Gelcaps, Advanced Formula 1/2mL
gelcaps (22 mg/gelcap), 30 ct bottle</v>
      </c>
      <c r="E49" t="str">
        <f>VLOOKUP(C49, 'SKU-Product List'!$A$2:$C$420, 3, FALSE)</f>
        <v>Other</v>
      </c>
    </row>
    <row r="50">
      <c r="A50" s="8" t="s">
        <v>312</v>
      </c>
      <c r="C50" t="str">
        <f t="shared" si="6"/>
        <v>0112</v>
      </c>
      <c r="D50" t="str">
        <f>VLOOKUP(C50, 'SKU-Product List'!$A$2:$C$420, 2, FALSE)</f>
        <v>Other: Gelcaps, Advanced Formula 1/2mL
gelcaps (22 mg/gelcap), 30 ct bottle</v>
      </c>
      <c r="E50" t="str">
        <f>VLOOKUP(C50, 'SKU-Product List'!$A$2:$C$420, 3, FALSE)</f>
        <v>Other</v>
      </c>
    </row>
    <row r="51">
      <c r="A51" s="8" t="s">
        <v>313</v>
      </c>
      <c r="B51" s="1">
        <v>2301.0</v>
      </c>
      <c r="C51" t="str">
        <f t="shared" ref="C51:C81" si="7">TEXT(B51, "0")</f>
        <v>2301</v>
      </c>
      <c r="D51" t="str">
        <f>VLOOKUP(C51, 'SKU-Product List'!$A$2:$C$420, 2, FALSE)</f>
        <v>Tincture: Supreme Formula, No Additives, 1oz (30mL)</v>
      </c>
      <c r="E51" t="str">
        <f>VLOOKUP(C51, 'SKU-Product List'!$A$2:$C$420, 3, FALSE)</f>
        <v>Tincture</v>
      </c>
    </row>
    <row r="52">
      <c r="A52" s="8" t="s">
        <v>314</v>
      </c>
      <c r="B52" s="1">
        <v>5211.0</v>
      </c>
      <c r="C52" t="str">
        <f t="shared" si="7"/>
        <v>5211</v>
      </c>
      <c r="D52" t="str">
        <f>VLOOKUP(C52, 'SKU-Product List'!$A$2:$C$420, 2, FALSE)</f>
        <v>Special: Retail Displays, Trifold Brochure
Holder, Default</v>
      </c>
      <c r="E52" t="str">
        <f>VLOOKUP(C52, 'SKU-Product List'!$A$2:$C$420, 3, FALSE)</f>
        <v>Special</v>
      </c>
    </row>
    <row r="53">
      <c r="C53" t="str">
        <f t="shared" si="7"/>
        <v>0</v>
      </c>
      <c r="D53" t="str">
        <f>VLOOKUP(C53, 'SKU-Product List'!$A$2:$C$420, 2, FALSE)</f>
        <v>#N/A</v>
      </c>
      <c r="E53" t="str">
        <f>VLOOKUP(C53, 'SKU-Product List'!$A$2:$C$420, 3, FALSE)</f>
        <v>#N/A</v>
      </c>
    </row>
    <row r="54">
      <c r="C54" t="str">
        <f t="shared" si="7"/>
        <v>0</v>
      </c>
      <c r="D54" t="str">
        <f>VLOOKUP(C54, 'SKU-Product List'!$A$2:$C$420, 2, FALSE)</f>
        <v>#N/A</v>
      </c>
      <c r="E54" t="str">
        <f>VLOOKUP(C54, 'SKU-Product List'!$A$2:$C$420, 3, FALSE)</f>
        <v>#N/A</v>
      </c>
    </row>
    <row r="55">
      <c r="C55" t="str">
        <f t="shared" si="7"/>
        <v>0</v>
      </c>
      <c r="D55" t="str">
        <f>VLOOKUP(C55, 'SKU-Product List'!$A$2:$C$420, 2, FALSE)</f>
        <v>#N/A</v>
      </c>
      <c r="E55" t="str">
        <f>VLOOKUP(C55, 'SKU-Product List'!$A$2:$C$420, 3, FALSE)</f>
        <v>#N/A</v>
      </c>
    </row>
    <row r="56">
      <c r="C56" t="str">
        <f t="shared" si="7"/>
        <v>0</v>
      </c>
      <c r="D56" t="str">
        <f>VLOOKUP(C56, 'SKU-Product List'!$A$2:$C$420, 2, FALSE)</f>
        <v>#N/A</v>
      </c>
      <c r="E56" t="str">
        <f>VLOOKUP(C56, 'SKU-Product List'!$A$2:$C$420, 3, FALSE)</f>
        <v>#N/A</v>
      </c>
    </row>
    <row r="57">
      <c r="C57" t="str">
        <f t="shared" si="7"/>
        <v>0</v>
      </c>
      <c r="D57" t="str">
        <f>VLOOKUP(C57, 'SKU-Product List'!$A$2:$C$420, 2, FALSE)</f>
        <v>#N/A</v>
      </c>
      <c r="E57" t="str">
        <f>VLOOKUP(C57, 'SKU-Product List'!$A$2:$C$420, 3, FALSE)</f>
        <v>#N/A</v>
      </c>
    </row>
    <row r="58">
      <c r="C58" t="str">
        <f t="shared" si="7"/>
        <v>0</v>
      </c>
      <c r="D58" t="str">
        <f>VLOOKUP(C58, 'SKU-Product List'!$A$2:$C$420, 2, FALSE)</f>
        <v>#N/A</v>
      </c>
      <c r="E58" t="str">
        <f>VLOOKUP(C58, 'SKU-Product List'!$A$2:$C$420, 3, FALSE)</f>
        <v>#N/A</v>
      </c>
    </row>
    <row r="59">
      <c r="C59" t="str">
        <f t="shared" si="7"/>
        <v>0</v>
      </c>
      <c r="D59" t="str">
        <f>VLOOKUP(C59, 'SKU-Product List'!$A$2:$C$420, 2, FALSE)</f>
        <v>#N/A</v>
      </c>
      <c r="E59" t="str">
        <f>VLOOKUP(C59, 'SKU-Product List'!$A$2:$C$420, 3, FALSE)</f>
        <v>#N/A</v>
      </c>
    </row>
    <row r="60">
      <c r="C60" t="str">
        <f t="shared" si="7"/>
        <v>0</v>
      </c>
      <c r="D60" t="str">
        <f>VLOOKUP(C60, 'SKU-Product List'!$A$2:$C$420, 2, FALSE)</f>
        <v>#N/A</v>
      </c>
      <c r="E60" t="str">
        <f>VLOOKUP(C60, 'SKU-Product List'!$A$2:$C$420, 3, FALSE)</f>
        <v>#N/A</v>
      </c>
    </row>
    <row r="61">
      <c r="C61" t="str">
        <f t="shared" si="7"/>
        <v>0</v>
      </c>
      <c r="D61" t="str">
        <f>VLOOKUP(C61, 'SKU-Product List'!$A$2:$C$420, 2, FALSE)</f>
        <v>#N/A</v>
      </c>
      <c r="E61" t="str">
        <f>VLOOKUP(C61, 'SKU-Product List'!$A$2:$C$420, 3, FALSE)</f>
        <v>#N/A</v>
      </c>
    </row>
    <row r="62">
      <c r="C62" t="str">
        <f t="shared" si="7"/>
        <v>0</v>
      </c>
      <c r="D62" t="str">
        <f>VLOOKUP(C62, 'SKU-Product List'!$A$2:$C$420, 2, FALSE)</f>
        <v>#N/A</v>
      </c>
      <c r="E62" t="str">
        <f>VLOOKUP(C62, 'SKU-Product List'!$A$2:$C$420, 3, FALSE)</f>
        <v>#N/A</v>
      </c>
    </row>
    <row r="63">
      <c r="C63" t="str">
        <f t="shared" si="7"/>
        <v>0</v>
      </c>
      <c r="D63" t="str">
        <f>VLOOKUP(C63, 'SKU-Product List'!$A$2:$C$420, 2, FALSE)</f>
        <v>#N/A</v>
      </c>
      <c r="E63" t="str">
        <f>VLOOKUP(C63, 'SKU-Product List'!$A$2:$C$420, 3, FALSE)</f>
        <v>#N/A</v>
      </c>
    </row>
    <row r="64">
      <c r="C64" t="str">
        <f t="shared" si="7"/>
        <v>0</v>
      </c>
      <c r="D64" t="str">
        <f>VLOOKUP(C64, 'SKU-Product List'!$A$2:$C$420, 2, FALSE)</f>
        <v>#N/A</v>
      </c>
      <c r="E64" t="str">
        <f>VLOOKUP(C64, 'SKU-Product List'!$A$2:$C$420, 3, FALSE)</f>
        <v>#N/A</v>
      </c>
    </row>
    <row r="65">
      <c r="C65" t="str">
        <f t="shared" si="7"/>
        <v>0</v>
      </c>
      <c r="D65" t="str">
        <f>VLOOKUP(C65, 'SKU-Product List'!$A$2:$C$420, 2, FALSE)</f>
        <v>#N/A</v>
      </c>
      <c r="E65" t="str">
        <f>VLOOKUP(C65, 'SKU-Product List'!$A$2:$C$420, 3, FALSE)</f>
        <v>#N/A</v>
      </c>
    </row>
    <row r="66">
      <c r="C66" t="str">
        <f t="shared" si="7"/>
        <v>0</v>
      </c>
      <c r="D66" t="str">
        <f>VLOOKUP(C66, 'SKU-Product List'!$A$2:$C$420, 2, FALSE)</f>
        <v>#N/A</v>
      </c>
      <c r="E66" t="str">
        <f>VLOOKUP(C66, 'SKU-Product List'!$A$2:$C$420, 3, FALSE)</f>
        <v>#N/A</v>
      </c>
    </row>
    <row r="67">
      <c r="C67" t="str">
        <f t="shared" si="7"/>
        <v>0</v>
      </c>
      <c r="D67" t="str">
        <f>VLOOKUP(C67, 'SKU-Product List'!$A$2:$C$420, 2, FALSE)</f>
        <v>#N/A</v>
      </c>
      <c r="E67" t="str">
        <f>VLOOKUP(C67, 'SKU-Product List'!$A$2:$C$420, 3, FALSE)</f>
        <v>#N/A</v>
      </c>
    </row>
    <row r="68">
      <c r="C68" t="str">
        <f t="shared" si="7"/>
        <v>0</v>
      </c>
      <c r="D68" t="str">
        <f>VLOOKUP(C68, 'SKU-Product List'!$A$2:$C$420, 2, FALSE)</f>
        <v>#N/A</v>
      </c>
      <c r="E68" t="str">
        <f>VLOOKUP(C68, 'SKU-Product List'!$A$2:$C$420, 3, FALSE)</f>
        <v>#N/A</v>
      </c>
    </row>
    <row r="69">
      <c r="C69" t="str">
        <f t="shared" si="7"/>
        <v>0</v>
      </c>
      <c r="D69" t="str">
        <f>VLOOKUP(C69, 'SKU-Product List'!$A$2:$C$420, 2, FALSE)</f>
        <v>#N/A</v>
      </c>
      <c r="E69" t="str">
        <f>VLOOKUP(C69, 'SKU-Product List'!$A$2:$C$420, 3, FALSE)</f>
        <v>#N/A</v>
      </c>
    </row>
    <row r="70">
      <c r="C70" t="str">
        <f t="shared" si="7"/>
        <v>0</v>
      </c>
      <c r="D70" t="str">
        <f>VLOOKUP(C70, 'SKU-Product List'!$A$2:$C$420, 2, FALSE)</f>
        <v>#N/A</v>
      </c>
      <c r="E70" t="str">
        <f>VLOOKUP(C70, 'SKU-Product List'!$A$2:$C$420, 3, FALSE)</f>
        <v>#N/A</v>
      </c>
    </row>
    <row r="71">
      <c r="C71" t="str">
        <f t="shared" si="7"/>
        <v>0</v>
      </c>
      <c r="D71" t="str">
        <f>VLOOKUP(C71, 'SKU-Product List'!$A$2:$C$420, 2, FALSE)</f>
        <v>#N/A</v>
      </c>
      <c r="E71" t="str">
        <f>VLOOKUP(C71, 'SKU-Product List'!$A$2:$C$420, 3, FALSE)</f>
        <v>#N/A</v>
      </c>
    </row>
    <row r="72">
      <c r="C72" t="str">
        <f t="shared" si="7"/>
        <v>0</v>
      </c>
      <c r="D72" t="str">
        <f>VLOOKUP(C72, 'SKU-Product List'!$A$2:$C$420, 2, FALSE)</f>
        <v>#N/A</v>
      </c>
      <c r="E72" t="str">
        <f>VLOOKUP(C72, 'SKU-Product List'!$A$2:$C$420, 3, FALSE)</f>
        <v>#N/A</v>
      </c>
    </row>
    <row r="73">
      <c r="C73" t="str">
        <f t="shared" si="7"/>
        <v>0</v>
      </c>
      <c r="D73" t="str">
        <f>VLOOKUP(C73, 'SKU-Product List'!$A$2:$C$420, 2, FALSE)</f>
        <v>#N/A</v>
      </c>
      <c r="E73" t="str">
        <f>VLOOKUP(C73, 'SKU-Product List'!$A$2:$C$420, 3, FALSE)</f>
        <v>#N/A</v>
      </c>
    </row>
    <row r="74">
      <c r="C74" t="str">
        <f t="shared" si="7"/>
        <v>0</v>
      </c>
      <c r="D74" t="str">
        <f>VLOOKUP(C74, 'SKU-Product List'!$A$2:$C$420, 2, FALSE)</f>
        <v>#N/A</v>
      </c>
      <c r="E74" t="str">
        <f>VLOOKUP(C74, 'SKU-Product List'!$A$2:$C$420, 3, FALSE)</f>
        <v>#N/A</v>
      </c>
    </row>
    <row r="75">
      <c r="C75" t="str">
        <f t="shared" si="7"/>
        <v>0</v>
      </c>
      <c r="D75" t="str">
        <f>VLOOKUP(C75, 'SKU-Product List'!$A$2:$C$420, 2, FALSE)</f>
        <v>#N/A</v>
      </c>
      <c r="E75" t="str">
        <f>VLOOKUP(C75, 'SKU-Product List'!$A$2:$C$420, 3, FALSE)</f>
        <v>#N/A</v>
      </c>
    </row>
    <row r="76">
      <c r="C76" t="str">
        <f t="shared" si="7"/>
        <v>0</v>
      </c>
      <c r="D76" t="str">
        <f>VLOOKUP(C76, 'SKU-Product List'!$A$2:$C$420, 2, FALSE)</f>
        <v>#N/A</v>
      </c>
      <c r="E76" t="str">
        <f>VLOOKUP(C76, 'SKU-Product List'!$A$2:$C$420, 3, FALSE)</f>
        <v>#N/A</v>
      </c>
    </row>
    <row r="77">
      <c r="C77" t="str">
        <f t="shared" si="7"/>
        <v>0</v>
      </c>
      <c r="D77" t="str">
        <f>VLOOKUP(C77, 'SKU-Product List'!$A$2:$C$420, 2, FALSE)</f>
        <v>#N/A</v>
      </c>
      <c r="E77" t="str">
        <f>VLOOKUP(C77, 'SKU-Product List'!$A$2:$C$420, 3, FALSE)</f>
        <v>#N/A</v>
      </c>
    </row>
    <row r="78">
      <c r="C78" t="str">
        <f t="shared" si="7"/>
        <v>0</v>
      </c>
      <c r="D78" t="str">
        <f>VLOOKUP(C78, 'SKU-Product List'!$A$2:$C$420, 2, FALSE)</f>
        <v>#N/A</v>
      </c>
      <c r="E78" t="str">
        <f>VLOOKUP(C78, 'SKU-Product List'!$A$2:$C$420, 3, FALSE)</f>
        <v>#N/A</v>
      </c>
    </row>
    <row r="79">
      <c r="C79" t="str">
        <f t="shared" si="7"/>
        <v>0</v>
      </c>
      <c r="D79" t="str">
        <f>VLOOKUP(C79, 'SKU-Product List'!$A$2:$C$420, 2, FALSE)</f>
        <v>#N/A</v>
      </c>
      <c r="E79" t="str">
        <f>VLOOKUP(C79, 'SKU-Product List'!$A$2:$C$420, 3, FALSE)</f>
        <v>#N/A</v>
      </c>
    </row>
    <row r="80">
      <c r="C80" t="str">
        <f t="shared" si="7"/>
        <v>0</v>
      </c>
      <c r="D80" t="str">
        <f>VLOOKUP(C80, 'SKU-Product List'!$A$2:$C$420, 2, FALSE)</f>
        <v>#N/A</v>
      </c>
      <c r="E80" t="str">
        <f>VLOOKUP(C80, 'SKU-Product List'!$A$2:$C$420, 3, FALSE)</f>
        <v>#N/A</v>
      </c>
    </row>
    <row r="81">
      <c r="C81" t="str">
        <f t="shared" si="7"/>
        <v>0</v>
      </c>
      <c r="D81" t="str">
        <f>VLOOKUP(C81, 'SKU-Product List'!$A$2:$C$420, 2, FALSE)</f>
        <v>#N/A</v>
      </c>
      <c r="E81" t="str">
        <f>VLOOKUP(C81, 'SKU-Product List'!$A$2:$C$420, 3, FALSE)</f>
        <v>#N/A</v>
      </c>
    </row>
  </sheetData>
  <drawing r:id="rId1"/>
</worksheet>
</file>